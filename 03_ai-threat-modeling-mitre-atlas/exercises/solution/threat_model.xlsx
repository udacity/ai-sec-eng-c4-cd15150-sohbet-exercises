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4000" tabRatio="600" firstSheet="0" activeTab="0" autoFilterDateGrouping="1"/>
  </bookViews>
  <sheets>
    <sheet xmlns:r="http://schemas.openxmlformats.org/officeDocument/2006/relationships" name="Scenario Brief" sheetId="1" state="visible" r:id="rId1"/>
    <sheet xmlns:r="http://schemas.openxmlformats.org/officeDocument/2006/relationships" name="Threat Model" sheetId="2" state="visible" r:id="rId2"/>
    <sheet xmlns:r="http://schemas.openxmlformats.org/officeDocument/2006/relationships" name="Board Brief" sheetId="3" state="visible" r:id="rId3"/>
    <sheet xmlns:r="http://schemas.openxmlformats.org/officeDocument/2006/relationships" name="Scoring Rubric" sheetId="4" state="visible" r:id="rId4"/>
    <sheet xmlns:r="http://schemas.openxmlformats.org/officeDocument/2006/relationships" name="ATLAS TTP Reference" sheetId="5" state="visible" r:id="rId5"/>
    <sheet xmlns:r="http://schemas.openxmlformats.org/officeDocument/2006/relationships" name="Control Family Reference" sheetId="6" state="visible" r:id="rId6"/>
    <sheet xmlns:r="http://schemas.openxmlformats.org/officeDocument/2006/relationships" name="ATLAS Reference Notes" sheetId="7" state="visible" r:id="rId7"/>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sz val="11"/>
    </font>
    <font>
      <name val="Calibri"/>
      <family val="2"/>
      <b val="1"/>
      <sz val="11"/>
    </font>
    <font>
      <b val="1"/>
      <color rgb="00FFFFFF"/>
    </font>
  </fonts>
  <fills count="9">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
      <patternFill patternType="solid">
        <fgColor rgb="004472C4"/>
        <bgColor rgb="004472C4"/>
      </patternFill>
    </fill>
    <fill>
      <patternFill patternType="solid">
        <fgColor rgb="00FFEB9C"/>
        <bgColor rgb="00FFEB9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3" fillId="0" borderId="0" pivotButton="0" quotePrefix="0" xfId="0"/>
    <xf numFmtId="0" fontId="0" fillId="6"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0" fillId="0" borderId="2" pivotButton="0" quotePrefix="0" xfId="0"/>
    <xf numFmtId="0" fontId="0" fillId="0" borderId="3"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horizontal="center" vertical="top" wrapText="1"/>
    </xf>
    <xf numFmtId="0" fontId="4" fillId="7"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tabSelected="1" zoomScale="200" zoomScaleNormal="200" workbookViewId="0">
      <selection activeCell="A5" sqref="A5"/>
    </sheetView>
  </sheetViews>
  <sheetFormatPr baseColWidth="10" defaultColWidth="8.83203125" defaultRowHeight="15"/>
  <cols>
    <col width="110" customWidth="1" min="1" max="1"/>
    <col width="30" customWidth="1" min="2" max="2"/>
  </cols>
  <sheetData>
    <row r="1" ht="22" customHeight="1">
      <c r="A1" s="1" t="inlineStr">
        <is>
          <t>FinTrust — AI Threat Modeling Exercise (MITRE ATLAS)</t>
        </is>
      </c>
    </row>
    <row r="2">
      <c r="A2" s="2" t="n"/>
    </row>
    <row r="3" ht="16" customHeight="1">
      <c r="A3" s="3" t="inlineStr">
        <is>
          <t>COMPANY: FinTrust (650 employees, fintech)</t>
        </is>
      </c>
    </row>
    <row r="4" ht="32" customHeight="1">
      <c r="A4" s="3" t="inlineStr">
        <is>
          <t>SYSTEM: FinTrust IDV — face-matching identity-verification ML pipeline. Used during customer onboarding (KYC) to decide whether to admit a new customer to the platform.</t>
        </is>
      </c>
    </row>
    <row r="5" ht="48" customHeight="1">
      <c r="A5" s="3" t="inlineStr">
        <is>
          <t>DEPLOYMENT: Public mobile-app endpoint. Customer uploads a selfie + a photo of their government-issued ID. The face-match model returns a similarity score; a downstream rules engine combines that score with document-OCR signals to make the KYC admit / decline / manual-review decision.</t>
        </is>
      </c>
    </row>
    <row r="6" ht="32" customHeight="1">
      <c r="A6" s="3" t="inlineStr">
        <is>
          <t>REGULATORY CONTEXT: GDPR (biometric data — Art. 9 special-category data); EU AI Act (biometric identification — High-Risk Annex III §1); US BSA/AML (KYC obligations); state biometric privacy laws (BIPA-style).</t>
        </is>
      </c>
    </row>
    <row r="7" ht="32" customHeight="1">
      <c r="A7" s="3" t="inlineStr">
        <is>
          <t>RECENT TRIGGER: A competitor's KYC system was bypassed last quarter using printed-photo presentation attacks. The AI review board has put FinTrust IDV's launch on hold until a threat model is complete.</t>
        </is>
      </c>
    </row>
    <row r="8">
      <c r="A8" s="2" t="n"/>
    </row>
    <row r="9" ht="16" customHeight="1">
      <c r="A9" s="4" t="inlineStr">
        <is>
          <t>ARCHITECTURE (one-line per node):</t>
        </is>
      </c>
    </row>
    <row r="10" ht="16" customHeight="1">
      <c r="A10" s="5" t="inlineStr">
        <is>
          <t xml:space="preserve">  1. End user → mobile app (camera capture + ID upload).</t>
        </is>
      </c>
    </row>
    <row r="11" ht="16" customHeight="1">
      <c r="A11" s="5" t="inlineStr">
        <is>
          <t xml:space="preserve">  2. App → FinTrust API gateway (TLS, mobile-app attestation, public endpoint).</t>
        </is>
      </c>
    </row>
    <row r="12" ht="16" customHeight="1">
      <c r="A12" s="5" t="inlineStr">
        <is>
          <t xml:space="preserve">  3. Gateway → Image preprocessing service (face crop, ID document straightening).</t>
        </is>
      </c>
    </row>
    <row r="13" ht="16" customHeight="1">
      <c r="A13" s="5" t="inlineStr">
        <is>
          <t xml:space="preserve">  4. Preprocessor → Face-match ML model (in-house, fine-tuned ResNet-style embedder + cosine similarity).</t>
        </is>
      </c>
    </row>
    <row r="14" ht="16" customHeight="1">
      <c r="A14" s="5" t="inlineStr">
        <is>
          <t xml:space="preserve">  5. Model → KYC rules engine (combines similarity score, OCR signals, sanctions hit).</t>
        </is>
      </c>
    </row>
    <row r="15" ht="16" customHeight="1">
      <c r="A15" s="5" t="inlineStr">
        <is>
          <t xml:space="preserve">  6. Rules engine → KYC decision (admit / decline / manual review).</t>
        </is>
      </c>
    </row>
    <row r="16" ht="16" customHeight="1">
      <c r="A16" s="5" t="inlineStr">
        <is>
          <t xml:space="preserve">  7. Monthly retrain pipeline pulls new ID-photo pairs from production queue (with consent flag).</t>
        </is>
      </c>
    </row>
    <row r="17">
      <c r="A17" s="2" t="n"/>
    </row>
    <row r="18" ht="16" customHeight="1">
      <c r="A18" s="4" t="inlineStr">
        <is>
          <t>YOUR TASK:</t>
        </is>
      </c>
    </row>
    <row r="19" ht="32" customHeight="1">
      <c r="A19" s="3" t="inlineStr">
        <is>
          <t>Lead the threat-modeling session for FinTrust IDV ahead of launch. Two ATLAS TTPs are scoped end-to-end as worked examples; you scope 3 more (their IDs are pre-selected on the Threat Model sheet; the ATLAS TTP Reference sheet has the full candidate list), then produce a 1-page board-facing summary on the Board Brief sheet.</t>
        </is>
      </c>
    </row>
    <row r="20">
      <c r="A20" s="2" t="n"/>
    </row>
    <row r="21" ht="16" customHeight="1">
      <c r="A21" s="4" t="inlineStr">
        <is>
          <t>COLOR LEGEND:</t>
        </is>
      </c>
    </row>
    <row r="22" ht="16" customHeight="1">
      <c r="A22" s="1" t="inlineStr">
        <is>
          <t>Blue Header — Sheet / column headers</t>
        </is>
      </c>
    </row>
    <row r="23" ht="16" customHeight="1">
      <c r="A23" s="3" t="inlineStr">
        <is>
          <t>Green — Scenario information</t>
        </is>
      </c>
    </row>
    <row r="24" ht="16" customHeight="1">
      <c r="A24" s="5" t="inlineStr">
        <is>
          <t>Light Blue — Pre-filled context / worked example rows</t>
        </is>
      </c>
    </row>
    <row r="25" ht="16" customHeight="1">
      <c r="A25" s="6" t="inlineStr">
        <is>
          <t>Pink — Student work areas — fill these cells</t>
        </is>
      </c>
    </row>
    <row r="26" ht="16" customHeight="1">
      <c r="A26"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zoomScale="200" zoomScaleNormal="200" workbookViewId="0">
      <selection activeCell="H4" sqref="H4:H6"/>
    </sheetView>
  </sheetViews>
  <sheetFormatPr baseColWidth="10" defaultColWidth="8.83203125" defaultRowHeight="15"/>
  <cols>
    <col width="11" customWidth="1" min="1" max="1"/>
    <col width="28" customWidth="1" min="2" max="2"/>
    <col width="18" customWidth="1" min="3" max="3"/>
    <col width="55" customWidth="1" min="4" max="4"/>
    <col width="12" customWidth="1" min="5" max="6"/>
    <col width="12.1640625" customWidth="1" min="7" max="7"/>
    <col width="12" customWidth="1" min="8" max="8"/>
    <col width="32" customWidth="1" min="9" max="9"/>
    <col width="60" customWidth="1" min="10" max="10"/>
    <col width="22" customWidth="1" min="11" max="11"/>
    <col width="12" customWidth="1" min="12" max="12"/>
  </cols>
  <sheetData>
    <row r="1" ht="30" customHeight="1">
      <c r="A1" s="20" t="inlineStr">
        <is>
          <t>TTP ID</t>
        </is>
      </c>
      <c r="B1" s="20" t="inlineStr">
        <is>
          <t>TTP Name</t>
        </is>
      </c>
      <c r="C1" s="20" t="inlineStr">
        <is>
          <t>ATLAS Tactic</t>
        </is>
      </c>
      <c r="D1" s="20" t="inlineStr">
        <is>
          <t>Architecture Scoping</t>
        </is>
      </c>
      <c r="E1" s="20" t="inlineStr">
        <is>
          <t>Likelihood (1-5)</t>
        </is>
      </c>
      <c r="F1" s="20" t="inlineStr">
        <is>
          <t>Impact (1-5)</t>
        </is>
      </c>
      <c r="G1" s="20" t="inlineStr">
        <is>
          <t>Risk Score</t>
        </is>
      </c>
      <c r="H1" s="20" t="inlineStr">
        <is>
          <t>Risk Level</t>
        </is>
      </c>
      <c r="I1" s="20" t="inlineStr">
        <is>
          <t>Control Family</t>
        </is>
      </c>
      <c r="J1" s="20" t="inlineStr">
        <is>
          <t>Named Controls</t>
        </is>
      </c>
      <c r="K1" s="20" t="inlineStr">
        <is>
          <t>Owner</t>
        </is>
      </c>
      <c r="L1" s="20" t="inlineStr">
        <is>
          <t>Status</t>
        </is>
      </c>
    </row>
    <row r="2" ht="90" customHeight="1">
      <c r="A2" s="9" t="inlineStr">
        <is>
          <t>AML.T0006</t>
        </is>
      </c>
      <c r="B2" s="17" t="inlineStr">
        <is>
          <t>Active Scanning</t>
        </is>
      </c>
      <c r="C2" s="17" t="inlineStr">
        <is>
          <t>Reconnaissance</t>
        </is>
      </c>
      <c r="D2" s="17" t="inlineStr">
        <is>
          <t>The mobile-app endpoint is publicly reachable; an attacker can scrape app binaries from the Play Store / App Store, extract the API contract, and probe the gateway to map FinTrust's IDV surface before any other technique is attempted.</t>
        </is>
      </c>
      <c r="E2" s="9" t="n">
        <v>5</v>
      </c>
      <c r="F2" s="9" t="n">
        <v>1</v>
      </c>
      <c r="G2" s="9">
        <f>E2*F2</f>
        <v/>
      </c>
      <c r="H2" s="9">
        <f>IF(G2&gt;=15,"Critical",IF(G2&gt;=10,"High",IF(G2&gt;=5,"Medium","Low")))</f>
        <v/>
      </c>
      <c r="I2" s="17" t="inlineStr">
        <is>
          <t>Gateway Controls</t>
        </is>
      </c>
      <c r="J2" s="17" t="inlineStr">
        <is>
          <t>1) Mobile-app attestation (Play Integrity / App Attest) at the gateway. 2) WAF rules on anomalous probe patterns. 3) Honeypot endpoints to detect mapping behavior.</t>
        </is>
      </c>
      <c r="K2" s="9" t="inlineStr">
        <is>
          <t>Platform Security</t>
        </is>
      </c>
      <c r="L2" s="9" t="inlineStr">
        <is>
          <t>Open</t>
        </is>
      </c>
    </row>
    <row r="3" ht="90" customHeight="1">
      <c r="A3" s="9" t="inlineStr">
        <is>
          <t>AML.T0040</t>
        </is>
      </c>
      <c r="B3" s="17" t="inlineStr">
        <is>
          <t>AI Model Inference API Access</t>
        </is>
      </c>
      <c r="C3" s="17" t="inlineStr">
        <is>
          <t>AI Model Access</t>
        </is>
      </c>
      <c r="D3" s="17" t="inlineStr">
        <is>
          <t>The face-match endpoint is exposed via the mobile-app gateway; once an attacker has passed app attestation, they can query the model with arbitrary image pairs and observe similarity scores, providing the substrate for downstream evasion or extraction attacks.</t>
        </is>
      </c>
      <c r="E3" s="9" t="n">
        <v>4</v>
      </c>
      <c r="F3" s="9" t="n">
        <v>2</v>
      </c>
      <c r="G3" s="9">
        <f>E3*F3</f>
        <v/>
      </c>
      <c r="H3" s="9">
        <f>IF(G3&gt;=15,"Critical",IF(G3&gt;=10,"High",IF(G3&gt;=5,"Medium","Low")))</f>
        <v/>
      </c>
      <c r="I3" s="17" t="inlineStr">
        <is>
          <t>Gateway Controls + Behavioral Monitoring</t>
        </is>
      </c>
      <c r="J3" s="17" t="inlineStr">
        <is>
          <t>1) Per-account and per-IP rate limits at the gateway. 2) Anomaly detection on query-volume per session. 3) Score-quantization (return banded scores rather than raw cosine values).</t>
        </is>
      </c>
      <c r="K3" s="9" t="inlineStr">
        <is>
          <t>Platform Security</t>
        </is>
      </c>
      <c r="L3" s="9" t="inlineStr">
        <is>
          <t>Open</t>
        </is>
      </c>
    </row>
    <row r="4" ht="90" customHeight="1">
      <c r="A4" s="11" t="inlineStr">
        <is>
          <t>AML.T0015</t>
        </is>
      </c>
      <c r="B4" s="12" t="inlineStr">
        <is>
          <t>Evade AI Model — Deepfake / Generative-Liveness Bypass</t>
        </is>
      </c>
      <c r="C4" s="12" t="inlineStr">
        <is>
          <t>Defense Evasion / Initial Access</t>
        </is>
      </c>
      <c r="D4" s="12" t="inlineStr">
        <is>
          <t>The face-match model can be defeated by either a classic printed-photo presentation attack OR a deepfake-generated face / generative-liveness bypass against the selfie capture step. The 2026 GenAI threat vector is the live one: open-source video-generation models (Stable Video Diffusion variants) and real-time face-swap tooling now produce liveness-passing video at consumer cost. This is the same attack class that hit a competitor last quarter — admitting an attacker as if they were the rightful identity holder.</t>
        </is>
      </c>
      <c r="E4" s="11" t="inlineStr">
        <is>
          <t>5
Reasoning: see scoping rationale + Scoring Rubric.</t>
        </is>
      </c>
      <c r="F4" s="11" t="inlineStr">
        <is>
          <t>5
Reasoning: see scoping rationale + Scoring Rubric.</t>
        </is>
      </c>
      <c r="G4" s="11">
        <f>25</f>
        <v/>
      </c>
      <c r="H4" s="11">
        <f>IF(G4&gt;=15,"Critical",IF(G4&gt;=10,"High",IF(G4&gt;=5,"Medium","Low")))</f>
        <v/>
      </c>
      <c r="I4" s="12" t="inlineStr">
        <is>
          <t>Input Filtering
Reasoning: control family chosen because it is the binding control surface for this TTP against this architecture (see Control Family Reference).</t>
        </is>
      </c>
      <c r="J4" s="12" t="inlineStr">
        <is>
          <t>1) Passive liveness detection in the capture SDK (texture / depth / micro-movement cues that current open-source video-generation models still fail). 2) Active liveness challenge (random head-turn / blink prompt) on high-risk sessions — defeats most generative-liveness bypass tooling. 3) Document-photo cross-checks against the live capture. 4) Deepfake-detection model on the captured frames as a defense-in-depth layer.</t>
        </is>
      </c>
      <c r="K4" s="11" t="inlineStr">
        <is>
          <t>ML Security Engineer</t>
        </is>
      </c>
      <c r="L4" s="11" t="inlineStr">
        <is>
          <t>Open</t>
        </is>
      </c>
    </row>
    <row r="5" ht="90" customHeight="1">
      <c r="A5" s="11" t="inlineStr">
        <is>
          <t>AML.T0024</t>
        </is>
      </c>
      <c r="B5" s="12" t="inlineStr">
        <is>
          <t>Exfiltration via AI Inference API</t>
        </is>
      </c>
      <c r="C5" s="12" t="inlineStr">
        <is>
          <t>Exfiltration</t>
        </is>
      </c>
      <c r="D5" s="12" t="inlineStr">
        <is>
          <t>An attacker with API access can issue large volumes of crafted query pairs and reconstruct a surrogate of the embedder, enabling offline crafting of adversarial faces and downstream presentation attacks at scale.</t>
        </is>
      </c>
      <c r="E5" s="11" t="inlineStr">
        <is>
          <t>3
Reasoning: see scoping rationale + Scoring Rubric.</t>
        </is>
      </c>
      <c r="F5" s="11" t="inlineStr">
        <is>
          <t>4
Reasoning: see scoping rationale + Scoring Rubric.</t>
        </is>
      </c>
      <c r="G5" s="11">
        <f>12</f>
        <v/>
      </c>
      <c r="H5" s="11">
        <f>IF(G5&gt;=15,"Critical",IF(G5&gt;=10,"High",IF(G5&gt;=5,"Medium","Low")))</f>
        <v/>
      </c>
      <c r="I5" s="12" t="inlineStr">
        <is>
          <t>Behavioral Monitoring + Gateway Controls
Reasoning: control family chosen because it is the binding control surface for this TTP against this architecture (see Control Family Reference).</t>
        </is>
      </c>
      <c r="J5" s="12" t="inlineStr">
        <is>
          <t>1) Detect query patterns characteristic of model-extraction (high-volume diverse-image probing). 2) Hard daily caps on per-account inference. 3) Output watermarking / score-quantization to raise extraction cost.</t>
        </is>
      </c>
      <c r="K5" s="11" t="inlineStr">
        <is>
          <t>ML Security Engineer</t>
        </is>
      </c>
      <c r="L5" s="11" t="inlineStr">
        <is>
          <t>Open</t>
        </is>
      </c>
    </row>
    <row r="6" ht="90" customHeight="1">
      <c r="A6" s="11" t="inlineStr">
        <is>
          <t>AML.T0020</t>
        </is>
      </c>
      <c r="B6" s="12" t="inlineStr">
        <is>
          <t>Poison Training Data</t>
        </is>
      </c>
      <c r="C6" s="12" t="inlineStr">
        <is>
          <t>Persistence / Resource Development</t>
        </is>
      </c>
      <c r="D6" s="12" t="inlineStr">
        <is>
          <t>The monthly retrain pipeline pulls new ID-photo pairs from production with a consent flag. An attacker who can submit attacker-chosen pairs at scale during onboarding can introduce backdoor triggers into the next model version.</t>
        </is>
      </c>
      <c r="E6" s="11" t="inlineStr">
        <is>
          <t>2
Reasoning: see scoping rationale + Scoring Rubric.</t>
        </is>
      </c>
      <c r="F6" s="11" t="inlineStr">
        <is>
          <t>5
Reasoning: see scoping rationale + Scoring Rubric.</t>
        </is>
      </c>
      <c r="G6" s="11">
        <f>10</f>
        <v/>
      </c>
      <c r="H6" s="11">
        <f>IF(G6&gt;=15,"Critical",IF(G6&gt;=10,"High",IF(G6&gt;=5,"Medium","Low")))</f>
        <v/>
      </c>
      <c r="I6" s="12" t="inlineStr">
        <is>
          <t>Training-Pipeline Integrity
Reasoning: control family chosen because it is the binding control surface for this TTP against this architecture (see Control Family Reference).</t>
        </is>
      </c>
      <c r="J6" s="12" t="inlineStr">
        <is>
          <t>1) Stratified sampling + outlier filtering on retrain ingestion. 2) Hold-out adversarial test set re-run before each model promotion. 3) Manual review of any retrain candidate showing &gt; 1% drift on the canary set.</t>
        </is>
      </c>
      <c r="K6" s="11" t="inlineStr">
        <is>
          <t>ML Platform Lead</t>
        </is>
      </c>
      <c r="L6" s="11"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zoomScale="200" zoomScaleNormal="200" workbookViewId="0">
      <selection activeCell="B18" sqref="B18:E18"/>
    </sheetView>
  </sheetViews>
  <sheetFormatPr baseColWidth="10" defaultColWidth="8.83203125" defaultRowHeight="15"/>
  <cols>
    <col width="8" customWidth="1" min="1" max="1"/>
    <col width="14" customWidth="1" min="2" max="2"/>
    <col width="50" customWidth="1" min="3" max="3"/>
    <col width="14" customWidth="1" min="4" max="5"/>
  </cols>
  <sheetData>
    <row r="1" ht="24" customHeight="1">
      <c r="A1" s="20" t="inlineStr">
        <is>
          <t>BOARD BRIEF — FinTrust IDV — pre-launch board brief</t>
        </is>
      </c>
      <c r="B1" s="18" t="n"/>
      <c r="C1" s="18" t="n"/>
      <c r="D1" s="18" t="n"/>
      <c r="E1" s="19" t="n"/>
    </row>
    <row r="2" ht="40" customHeight="1">
      <c r="A2" s="13" t="inlineStr">
        <is>
          <t>System under review:</t>
        </is>
      </c>
      <c r="B2" s="21" t="inlineStr">
        <is>
          <t>FinTrust IDV: face-matching identity-verification ML pipeline on a public mobile-app endpoint; in-house face-match model; downstream KYC rules engine; monthly retrain pulling from production with consent flag.</t>
        </is>
      </c>
      <c r="C2" s="18" t="n"/>
      <c r="D2" s="18" t="n"/>
      <c r="E2" s="19" t="n"/>
    </row>
    <row r="3"/>
    <row r="4" ht="22" customHeight="1">
      <c r="A4" s="20" t="inlineStr">
        <is>
          <t>A. TOP 3 TTPS (ranked by Risk Score; tie-break by Impact)</t>
        </is>
      </c>
      <c r="B4" s="18" t="n"/>
      <c r="C4" s="18" t="n"/>
      <c r="D4" s="18" t="n"/>
      <c r="E4" s="19" t="n"/>
    </row>
    <row r="5" ht="16" customHeight="1">
      <c r="A5" s="20" t="inlineStr">
        <is>
          <t>Rank</t>
        </is>
      </c>
      <c r="B5" s="20" t="inlineStr">
        <is>
          <t>TTP ID</t>
        </is>
      </c>
      <c r="C5" s="20" t="inlineStr">
        <is>
          <t>TTP Name</t>
        </is>
      </c>
      <c r="D5" s="20" t="inlineStr">
        <is>
          <t>Risk Score</t>
        </is>
      </c>
      <c r="E5" s="20" t="inlineStr">
        <is>
          <t>Risk Level</t>
        </is>
      </c>
    </row>
    <row r="6" ht="26" customHeight="1">
      <c r="A6" s="9" t="n">
        <v>1</v>
      </c>
      <c r="B6" s="9" t="inlineStr">
        <is>
          <t>AML.T0015</t>
        </is>
      </c>
      <c r="C6" s="17" t="inlineStr">
        <is>
          <t>Evade AI Model — Deepfake / Generative-Liveness Bypass</t>
        </is>
      </c>
      <c r="D6" s="9" t="n">
        <v>25</v>
      </c>
      <c r="E6" s="9" t="inlineStr">
        <is>
          <t>Critical</t>
        </is>
      </c>
    </row>
    <row r="7" ht="26" customHeight="1">
      <c r="A7" s="9" t="n">
        <v>2</v>
      </c>
      <c r="B7" s="9" t="inlineStr">
        <is>
          <t>AML.T0024</t>
        </is>
      </c>
      <c r="C7" s="17" t="inlineStr">
        <is>
          <t>Exfiltration via AI Inference API (model extraction)</t>
        </is>
      </c>
      <c r="D7" s="9" t="n">
        <v>12</v>
      </c>
      <c r="E7" s="9" t="inlineStr">
        <is>
          <t>High</t>
        </is>
      </c>
    </row>
    <row r="8" ht="26" customHeight="1">
      <c r="A8" s="9" t="n">
        <v>3</v>
      </c>
      <c r="B8" s="9" t="inlineStr">
        <is>
          <t>AML.T0020</t>
        </is>
      </c>
      <c r="C8" s="17" t="inlineStr">
        <is>
          <t>Poison Training Data (during retrain)</t>
        </is>
      </c>
      <c r="D8" s="9" t="n">
        <v>10</v>
      </c>
      <c r="E8" s="9" t="inlineStr">
        <is>
          <t>High</t>
        </is>
      </c>
    </row>
    <row r="9"/>
    <row r="10" ht="22" customHeight="1">
      <c r="A10" s="20" t="inlineStr">
        <is>
          <t>B. RECOMMENDED CONTROLS PER TOP TTP</t>
        </is>
      </c>
      <c r="B10" s="18" t="n"/>
      <c r="C10" s="18" t="n"/>
      <c r="D10" s="18" t="n"/>
      <c r="E10" s="19" t="n"/>
    </row>
    <row r="11">
      <c r="A11" s="20" t="inlineStr">
        <is>
          <t>TTP</t>
        </is>
      </c>
      <c r="B11" s="19" t="n"/>
      <c r="C11" s="20" t="inlineStr">
        <is>
          <t>Recommended controls + residual risk after controls</t>
        </is>
      </c>
      <c r="D11" s="18" t="n"/>
      <c r="E11" s="19" t="n"/>
    </row>
    <row r="12">
      <c r="A12" s="17" t="inlineStr">
        <is>
          <t>AML.T0015 — Evade AI Model — Deepfake / Generative-Liveness Bypass</t>
        </is>
      </c>
      <c r="B12" s="19" t="n"/>
      <c r="C12" s="17" t="inlineStr">
        <is>
          <t>Required pre-launch: passive liveness in the capture SDK, an active liveness challenge on high-risk sessions (random head-turn / blink), and a document-photo cross-check against the live capture. Residual risk after these controls is Medium — sophisticated 3D-mask attacks remain possible but require materially higher attacker investment. This is the launch-blocker; the competitor incident last quarter is the exact failure mode.
Reasoning: controls chosen because they bind the specific failure mode named in the Threat Model scoping (see Threat Model sheet).</t>
        </is>
      </c>
      <c r="D12" s="18" t="n"/>
      <c r="E12" s="19" t="n"/>
    </row>
    <row r="13" ht="96" customHeight="1">
      <c r="A13" s="17" t="inlineStr">
        <is>
          <t>AML.T0024 — Exfiltration via AI Inference API (model extraction)</t>
        </is>
      </c>
      <c r="B13" s="19" t="n"/>
      <c r="C13" s="17" t="inlineStr">
        <is>
          <t>Required: similarity-score quantization at the API edge (return banded scores rather than raw cosine values), per-account daily inference caps, and detection of high-volume diverse-image probing. Residual risk is Low — model extraction becomes economically uninteresting. Pair with the precondition mitigations on AML.T0040 (rate limits + app attestation).
Reasoning: controls chosen because they bind the specific failure mode named in the Threat Model scoping (see Threat Model sheet).</t>
        </is>
      </c>
      <c r="D13" s="18" t="n"/>
      <c r="E13" s="19" t="n"/>
    </row>
    <row r="14" ht="96" customHeight="1">
      <c r="A14" s="17" t="inlineStr">
        <is>
          <t>AML.T0020 — Poison Training Data (during retrain)</t>
        </is>
      </c>
      <c r="B14" s="19" t="n"/>
      <c r="C14" s="17" t="inlineStr">
        <is>
          <t>Required: outlier filtering on retrain ingestion, a hold-out adversarial canary set re-run before each model promotion, and manual review of any retrain candidate showing &gt; 1% drift on the canary set. Residual risk is Low — a poisoning attack would have to evade the canary to land in production.
Reasoning: controls chosen because they bind the specific failure mode named in the Threat Model scoping (see Threat Model sheet).</t>
        </is>
      </c>
      <c r="D14" s="18" t="n"/>
      <c r="E14" s="19" t="n"/>
    </row>
    <row r="15"/>
    <row r="16" ht="22" customHeight="1">
      <c r="A16" s="20" t="inlineStr">
        <is>
          <t>C. RECOMMENDATION TO THE AI REVIEW BOARD</t>
        </is>
      </c>
      <c r="B16" s="18" t="n"/>
      <c r="C16" s="18" t="n"/>
      <c r="D16" s="18" t="n"/>
      <c r="E16" s="19" t="n"/>
    </row>
    <row r="17">
      <c r="A17" s="13" t="inlineStr">
        <is>
          <t>Decision:</t>
        </is>
      </c>
      <c r="B17" s="22" t="inlineStr">
        <is>
          <t>Conditional Launch</t>
        </is>
      </c>
      <c r="C17" s="19" t="n"/>
    </row>
    <row r="18" ht="200" customHeight="1">
      <c r="A18" s="13" t="inlineStr">
        <is>
          <t>Rationale:</t>
        </is>
      </c>
      <c r="B18" s="17" t="inlineStr">
        <is>
          <t>Conditional Launch. FinTrust IDV is recommended for launch contingent on three measurable conditions, all derived from this threat model: (1) liveness detection (passive in-SDK + active challenge on high-risk sessions) is shipped and exercised on a hold-out presentation-attack set with at least 95% detection rate; (2) similarity-score quantization and per-account daily caps are live at the API gateway, with abuse-pattern alerting reaching Platform Security on-call; (3) the retrain-promotion gate (canary adversarial set + drift threshold + manual review) is documented and dry-run on the next scheduled retrain. Without (1), the launch is a No-Go — AML.T0015 is rated Critical (score 25) and matches the production failure mode that took down a comparable competitor system last quarter. With (1)–(3) in place, residual risk on the top three TTPs falls to Medium / Low and is consistent with FinTrust's risk-appetite statement for biometric KYC.
Reasoning: this recommendation is the function of the top-3 TTP risk scores combined with the residual-risk reduction from §B controls — it should reproduce if a peer reviewer re-runs the workbook on the same scoring.</t>
        </is>
      </c>
      <c r="C18" s="18" t="n"/>
      <c r="D18" s="18" t="n"/>
      <c r="E18" s="19" t="n"/>
    </row>
    <row r="19"/>
    <row r="20" ht="32" customHeight="1">
      <c r="A20" s="13" t="inlineStr">
        <is>
          <t>Prepared by:</t>
        </is>
      </c>
      <c r="B20" s="14" t="inlineStr">
        <is>
          <t>AI Security Architect</t>
        </is>
      </c>
    </row>
    <row r="21" ht="48" customHeight="1">
      <c r="A21" s="13" t="inlineStr">
        <is>
          <t>Companion artifact:</t>
        </is>
      </c>
      <c r="B21" s="2" t="inlineStr">
        <is>
          <t>Threat Model sheet (this workbook)</t>
        </is>
      </c>
    </row>
    <row r="22" ht="96" customHeight="1">
      <c r="A22" s="13" t="inlineStr">
        <is>
          <t>Frameworks anchored:</t>
        </is>
      </c>
      <c r="B22" s="2" t="inlineStr">
        <is>
          <t>MITRE ATLAS (primary); STRIDE-ML / LINDDUN (design-time cross-check).</t>
        </is>
      </c>
    </row>
  </sheetData>
  <mergeCells count="15">
    <mergeCell ref="B18:E18"/>
    <mergeCell ref="C14:E14"/>
    <mergeCell ref="A4:E4"/>
    <mergeCell ref="C11:E11"/>
    <mergeCell ref="C13:E13"/>
    <mergeCell ref="A16:E16"/>
    <mergeCell ref="A10:E10"/>
    <mergeCell ref="A11:B11"/>
    <mergeCell ref="A13:B13"/>
    <mergeCell ref="A14:B14"/>
    <mergeCell ref="A1:E1"/>
    <mergeCell ref="B2:E2"/>
    <mergeCell ref="B17:C17"/>
    <mergeCell ref="C12:E1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zoomScale="200" zoomScaleNormal="200" workbookViewId="0">
      <selection activeCell="A1" sqref="A1:B1"/>
    </sheetView>
  </sheetViews>
  <sheetFormatPr baseColWidth="10" defaultColWidth="8.83203125" defaultRowHeight="15"/>
  <cols>
    <col width="18" customWidth="1" min="1" max="1"/>
    <col width="95" customWidth="1" min="2" max="2"/>
  </cols>
  <sheetData>
    <row r="1" ht="22" customHeight="1">
      <c r="A1" s="20" t="inlineStr">
        <is>
          <t>LIKELIHOOD SCALE (1–5)</t>
        </is>
      </c>
      <c r="B1" s="19" t="n"/>
    </row>
    <row r="2" ht="16" customHeight="1">
      <c r="A2" s="15" t="inlineStr">
        <is>
          <t>1</t>
        </is>
      </c>
      <c r="B2" s="16" t="inlineStr">
        <is>
          <t>Rare — extremely unlikely to occur (&lt; 5%) given current architecture / threat landscape</t>
        </is>
      </c>
    </row>
    <row r="3" ht="16" customHeight="1">
      <c r="A3" s="15" t="inlineStr">
        <is>
          <t>2</t>
        </is>
      </c>
      <c r="B3" s="16" t="inlineStr">
        <is>
          <t>Unlikely — low probability (5–25%); requires sophisticated attacker or unusual circumstances</t>
        </is>
      </c>
    </row>
    <row r="4" ht="16" customHeight="1">
      <c r="A4" s="15" t="inlineStr">
        <is>
          <t>3</t>
        </is>
      </c>
      <c r="B4" s="16" t="inlineStr">
        <is>
          <t>Possible — moderate probability (25–50%); plausible against a motivated attacker</t>
        </is>
      </c>
    </row>
    <row r="5" ht="16" customHeight="1">
      <c r="A5" s="15" t="inlineStr">
        <is>
          <t>4</t>
        </is>
      </c>
      <c r="B5" s="16" t="inlineStr">
        <is>
          <t>Likely — high probability (50–75%); within 12 months given the public surface</t>
        </is>
      </c>
    </row>
    <row r="6" ht="16" customHeight="1">
      <c r="A6" s="15" t="inlineStr">
        <is>
          <t>5</t>
        </is>
      </c>
      <c r="B6" s="16" t="inlineStr">
        <is>
          <t>Almost Certain — very likely (&gt; 75%); already documented against comparable systems</t>
        </is>
      </c>
    </row>
    <row r="7"/>
    <row r="8" ht="22" customHeight="1">
      <c r="A8" s="20" t="inlineStr">
        <is>
          <t>IMPACT SCALE (1–5)</t>
        </is>
      </c>
      <c r="B8" s="19" t="n"/>
    </row>
    <row r="9" ht="16" customHeight="1">
      <c r="A9" s="15" t="inlineStr">
        <is>
          <t>1</t>
        </is>
      </c>
      <c r="B9" s="16" t="inlineStr">
        <is>
          <t>Negligible — minimal organizational or user impact; recoverable with internal handling</t>
        </is>
      </c>
    </row>
    <row r="10" ht="16" customHeight="1">
      <c r="A10" s="15" t="inlineStr">
        <is>
          <t>2</t>
        </is>
      </c>
      <c r="B10" s="16" t="inlineStr">
        <is>
          <t>Minor — limited user impact; some manual response cost; no regulatory exposure</t>
        </is>
      </c>
    </row>
    <row r="11" ht="16" customHeight="1">
      <c r="A11" s="15" t="inlineStr">
        <is>
          <t>3</t>
        </is>
      </c>
      <c r="B11" s="16" t="inlineStr">
        <is>
          <t>Moderate — affects a measurable user subset; possible regulatory inquiry; brand exposure</t>
        </is>
      </c>
    </row>
    <row r="12" ht="16" customHeight="1">
      <c r="A12" s="15" t="inlineStr">
        <is>
          <t>4</t>
        </is>
      </c>
      <c r="B12" s="16" t="inlineStr">
        <is>
          <t>Major — broad user impact; clear regulatory exposure; material financial loss</t>
        </is>
      </c>
    </row>
    <row r="13" ht="16" customHeight="1">
      <c r="A13" s="15" t="inlineStr">
        <is>
          <t>5</t>
        </is>
      </c>
      <c r="B13" s="16" t="inlineStr">
        <is>
          <t>Catastrophic — systemic failure; large-scale user harm; regulatory action; existential brand risk</t>
        </is>
      </c>
    </row>
    <row r="14"/>
    <row r="15" ht="22" customHeight="1">
      <c r="A15" s="20" t="inlineStr">
        <is>
          <t>RISK LEVEL THRESHOLDS  (Risk Score = Likelihood × Impact)</t>
        </is>
      </c>
      <c r="B15" s="19" t="n"/>
    </row>
    <row r="16" ht="16" customHeight="1">
      <c r="A16" s="15" t="inlineStr">
        <is>
          <t>CRITICAL</t>
        </is>
      </c>
      <c r="B16" s="16" t="inlineStr">
        <is>
          <t>≥ 15 — Immediate executive attention; block launch until mitigated</t>
        </is>
      </c>
    </row>
    <row r="17" ht="16" customHeight="1">
      <c r="A17" s="15" t="inlineStr">
        <is>
          <t>HIGH</t>
        </is>
      </c>
      <c r="B17" s="16" t="inlineStr">
        <is>
          <t>10–14 — Prioritize mitigation in current sprint; revisit at AI review board</t>
        </is>
      </c>
    </row>
    <row r="18" ht="16" customHeight="1">
      <c r="A18" s="15" t="inlineStr">
        <is>
          <t>MEDIUM</t>
        </is>
      </c>
      <c r="B18" s="16" t="inlineStr">
        <is>
          <t>5–9 — Schedule mitigation within 90 days; track in risk register</t>
        </is>
      </c>
    </row>
    <row r="19" ht="16" customHeight="1">
      <c r="A19" s="15" t="inlineStr">
        <is>
          <t>LOW</t>
        </is>
      </c>
      <c r="B19" s="16" t="inlineStr">
        <is>
          <t>&lt; 5 — Monitor; mitigate as resources allow</t>
        </is>
      </c>
    </row>
  </sheetData>
  <mergeCells count="3">
    <mergeCell ref="A8:B8"/>
    <mergeCell ref="A1:B1"/>
    <mergeCell ref="A15:B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zoomScale="200" zoomScaleNormal="200" workbookViewId="0">
      <selection activeCell="A1" sqref="A1"/>
    </sheetView>
  </sheetViews>
  <sheetFormatPr baseColWidth="10" defaultColWidth="8.83203125" defaultRowHeight="15"/>
  <cols>
    <col width="13" customWidth="1" min="1" max="1"/>
    <col width="50" customWidth="1" min="2" max="2"/>
    <col width="28" customWidth="1" min="3" max="3"/>
    <col width="80" customWidth="1" min="4" max="4"/>
  </cols>
  <sheetData>
    <row r="1" ht="22" customHeight="1">
      <c r="A1" s="20" t="inlineStr">
        <is>
          <t>TTP ID</t>
        </is>
      </c>
      <c r="B1" s="20" t="inlineStr">
        <is>
          <t>TTP Name</t>
        </is>
      </c>
      <c r="C1" s="20" t="inlineStr">
        <is>
          <t>ATLAS Tactic</t>
        </is>
      </c>
      <c r="D1" s="20" t="inlineStr">
        <is>
          <t>One-Line Description</t>
        </is>
      </c>
    </row>
    <row r="2" ht="36" customHeight="1">
      <c r="A2" s="15" t="inlineStr">
        <is>
          <t>AML.T0000</t>
        </is>
      </c>
      <c r="B2" s="16" t="inlineStr">
        <is>
          <t>Search Victim's Publicly Available Research Materials</t>
        </is>
      </c>
      <c r="C2" s="16" t="inlineStr">
        <is>
          <t>Reconnaissance</t>
        </is>
      </c>
      <c r="D2" s="16" t="inlineStr">
        <is>
          <t>Adversary scans public papers, model cards, or repos to learn the target's model architecture, training data, or guardrails.</t>
        </is>
      </c>
    </row>
    <row r="3" ht="36" customHeight="1">
      <c r="A3" s="15" t="inlineStr">
        <is>
          <t>AML.T0006</t>
        </is>
      </c>
      <c r="B3" s="16" t="inlineStr">
        <is>
          <t>Active Scanning</t>
        </is>
      </c>
      <c r="C3" s="16" t="inlineStr">
        <is>
          <t>Reconnaissance</t>
        </is>
      </c>
      <c r="D3" s="16" t="inlineStr">
        <is>
          <t>Adversary probes the AI system's API surface — endpoints, rate limits, auth — to map the attack surface.</t>
        </is>
      </c>
    </row>
    <row r="4" ht="36" customHeight="1">
      <c r="A4" s="15" t="inlineStr">
        <is>
          <t>AML.T0015</t>
        </is>
      </c>
      <c r="B4" s="16" t="inlineStr">
        <is>
          <t>Evade AI Model</t>
        </is>
      </c>
      <c r="C4" s="16" t="inlineStr">
        <is>
          <t>Defense Evasion / Initial Access</t>
        </is>
      </c>
      <c r="D4" s="16" t="inlineStr">
        <is>
          <t>Adversary crafts inputs designed to be misclassified by the model (adversarial / presentation / prompt-evasion attacks).</t>
        </is>
      </c>
    </row>
    <row r="5" ht="36" customHeight="1">
      <c r="A5" s="15" t="inlineStr">
        <is>
          <t>AML.T0018</t>
        </is>
      </c>
      <c r="B5" s="16" t="inlineStr">
        <is>
          <t>Backdoor AI Model</t>
        </is>
      </c>
      <c r="C5" s="16" t="inlineStr">
        <is>
          <t>Persistence</t>
        </is>
      </c>
      <c r="D5" s="16" t="inlineStr">
        <is>
          <t>Adversary embeds a trigger into a model (during training or fine-tune) so that specific inputs produce attacker-chosen outputs.</t>
        </is>
      </c>
    </row>
    <row r="6" ht="36" customHeight="1">
      <c r="A6" s="15" t="inlineStr">
        <is>
          <t>AML.T0020</t>
        </is>
      </c>
      <c r="B6" s="16" t="inlineStr">
        <is>
          <t>Poison Training Data</t>
        </is>
      </c>
      <c r="C6" s="16" t="inlineStr">
        <is>
          <t>Persistence / Resource Development</t>
        </is>
      </c>
      <c r="D6" s="16" t="inlineStr">
        <is>
          <t>Adversary contaminates training or retrain data to degrade performance, induce bias, or plant a backdoor.</t>
        </is>
      </c>
    </row>
    <row r="7" ht="36" customHeight="1">
      <c r="A7" s="15" t="inlineStr">
        <is>
          <t>AML.T0024</t>
        </is>
      </c>
      <c r="B7" s="16" t="inlineStr">
        <is>
          <t>Exfiltration via AI Inference API</t>
        </is>
      </c>
      <c r="C7" s="16" t="inlineStr">
        <is>
          <t>Exfiltration</t>
        </is>
      </c>
      <c r="D7" s="16" t="inlineStr">
        <is>
          <t>Adversary issues large numbers of queries to reconstruct a surrogate model, recover training data, or infer membership.</t>
        </is>
      </c>
    </row>
    <row r="8" ht="36" customHeight="1">
      <c r="A8" s="15" t="inlineStr">
        <is>
          <t>AML.T0029</t>
        </is>
      </c>
      <c r="B8" s="16" t="inlineStr">
        <is>
          <t>Denial of AI Service</t>
        </is>
      </c>
      <c r="C8" s="16" t="inlineStr">
        <is>
          <t>Impact</t>
        </is>
      </c>
      <c r="D8" s="16" t="inlineStr">
        <is>
          <t>Adversary degrades or disables a model — through resource exhaustion, query flooding, or amplification — to deny service.</t>
        </is>
      </c>
    </row>
    <row r="9" ht="36" customHeight="1">
      <c r="A9" s="15" t="inlineStr">
        <is>
          <t>AML.T0040</t>
        </is>
      </c>
      <c r="B9" s="16" t="inlineStr">
        <is>
          <t>AI Model Inference API Access</t>
        </is>
      </c>
      <c r="C9" s="16" t="inlineStr">
        <is>
          <t>AI Model Access</t>
        </is>
      </c>
      <c r="D9" s="16" t="inlineStr">
        <is>
          <t>Adversary obtains the ability to query the deployed model and observe outputs (precondition for many other techniques).</t>
        </is>
      </c>
    </row>
    <row r="10" ht="36" customHeight="1">
      <c r="A10" s="15" t="inlineStr">
        <is>
          <t>AML.T0043</t>
        </is>
      </c>
      <c r="B10" s="16" t="inlineStr">
        <is>
          <t>Craft Adversarial Data</t>
        </is>
      </c>
      <c r="C10" s="16" t="inlineStr">
        <is>
          <t>AI Attack Staging</t>
        </is>
      </c>
      <c r="D10" s="16" t="inlineStr">
        <is>
          <t>Adversary generates adversarial examples (white-box, black-box, or transfer) targeting the deployed model.</t>
        </is>
      </c>
    </row>
    <row r="11" ht="36" customHeight="1">
      <c r="A11" s="15" t="inlineStr">
        <is>
          <t>AML.T0044</t>
        </is>
      </c>
      <c r="B11" s="16" t="inlineStr">
        <is>
          <t>Full AI Model Access</t>
        </is>
      </c>
      <c r="C11" s="16" t="inlineStr">
        <is>
          <t>AI Model Access</t>
        </is>
      </c>
      <c r="D11" s="16" t="inlineStr">
        <is>
          <t>Adversary obtains direct access to model weights, enabling any white-box attack.</t>
        </is>
      </c>
    </row>
    <row r="12" ht="36" customHeight="1">
      <c r="A12" s="15" t="inlineStr">
        <is>
          <t>AML.T0048</t>
        </is>
      </c>
      <c r="B12" s="16" t="inlineStr">
        <is>
          <t>External Harms</t>
        </is>
      </c>
      <c r="C12" s="16" t="inlineStr">
        <is>
          <t>Impact</t>
        </is>
      </c>
      <c r="D12" s="16" t="inlineStr">
        <is>
          <t>Adversary leverages model output to cause real-world harm — financial loss, reputational damage, user harm, regulatory breach.</t>
        </is>
      </c>
    </row>
    <row r="13" ht="36" customHeight="1">
      <c r="A13" s="15" t="inlineStr">
        <is>
          <t>AML.T0051</t>
        </is>
      </c>
      <c r="B13" s="16" t="inlineStr">
        <is>
          <t>LLM Prompt Injection</t>
        </is>
      </c>
      <c r="C13" s="16" t="inlineStr">
        <is>
          <t>Initial Access</t>
        </is>
      </c>
      <c r="D13" s="16" t="inlineStr">
        <is>
          <t>Adversary inserts instructions into input that an LLM treats as authoritative, overriding system prompts or invoking attacker-chosen tool calls.</t>
        </is>
      </c>
    </row>
    <row r="14" ht="36" customHeight="1">
      <c r="A14" s="15" t="inlineStr">
        <is>
          <t>AML.T0057</t>
        </is>
      </c>
      <c r="B14" s="16" t="inlineStr">
        <is>
          <t>LLM Data Leakage</t>
        </is>
      </c>
      <c r="C14" s="16" t="inlineStr">
        <is>
          <t>Exfiltration</t>
        </is>
      </c>
      <c r="D14" s="16" t="inlineStr">
        <is>
          <t>Adversary induces an LLM to emit secrets or training data (system prompt, retrieved context, PII) through crafted prompts.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zoomScale="200" zoomScaleNormal="200" workbookViewId="0">
      <selection activeCell="A1" sqref="A1"/>
    </sheetView>
  </sheetViews>
  <sheetFormatPr baseColWidth="10" defaultColWidth="8.83203125" defaultRowHeight="15"/>
  <cols>
    <col width="32" customWidth="1" min="1" max="1"/>
    <col width="110" customWidth="1" min="2" max="2"/>
  </cols>
  <sheetData>
    <row r="1" ht="22" customHeight="1">
      <c r="A1" s="20" t="inlineStr">
        <is>
          <t>Control Family</t>
        </is>
      </c>
      <c r="B1" s="20" t="inlineStr">
        <is>
          <t>What it covers</t>
        </is>
      </c>
    </row>
    <row r="2" ht="38" customHeight="1">
      <c r="A2" s="15" t="inlineStr">
        <is>
          <t>Input Filtering</t>
        </is>
      </c>
      <c r="B2" s="16" t="inlineStr">
        <is>
          <t>Pre-model controls applied to inbound input — prompt-injection classifiers, adversarial-input detectors, liveness checks, input schema validation.</t>
        </is>
      </c>
    </row>
    <row r="3" ht="38" customHeight="1">
      <c r="A3" s="15" t="inlineStr">
        <is>
          <t>Output Moderation</t>
        </is>
      </c>
      <c r="B3" s="16" t="inlineStr">
        <is>
          <t>Post-model controls applied to model output — toxicity / PII filters, jailbreak detectors, system-prompt-leak detectors, response gating.</t>
        </is>
      </c>
    </row>
    <row r="4" ht="38" customHeight="1">
      <c r="A4" s="15" t="inlineStr">
        <is>
          <t>Gateway Controls</t>
        </is>
      </c>
      <c r="B4" s="16" t="inlineStr">
        <is>
          <t>Network-layer controls — authentication, per-IP / per-account rate limits, mobile-app attestation, WAF, bot detection, CAPTCHA.</t>
        </is>
      </c>
    </row>
    <row r="5" ht="38" customHeight="1">
      <c r="A5" s="15" t="inlineStr">
        <is>
          <t>Behavioral Monitoring</t>
        </is>
      </c>
      <c r="B5" s="16" t="inlineStr">
        <is>
          <t>Telemetry-driven controls — anomaly detection on query patterns, session-level outlier detection, drift detection, abuse-pattern alerting.</t>
        </is>
      </c>
    </row>
    <row r="6" ht="38" customHeight="1">
      <c r="A6" s="15" t="inlineStr">
        <is>
          <t>Tool-Use Guardrails</t>
        </is>
      </c>
      <c r="B6" s="16" t="inlineStr">
        <is>
          <t>Controls on agent tool calls — allowlists, server-side parameter validation, hard caps, mandatory human-in-the-loop above thresholds.</t>
        </is>
      </c>
    </row>
    <row r="7" ht="38" customHeight="1">
      <c r="A7" s="15" t="inlineStr">
        <is>
          <t>Training-Pipeline Integrity</t>
        </is>
      </c>
      <c r="B7" s="16" t="inlineStr">
        <is>
          <t>Controls on model training / retrain — provenance tracking, outlier filtering, hold-out adversarial test sets, model-promotion gates.</t>
        </is>
      </c>
    </row>
    <row r="8" ht="38" customHeight="1">
      <c r="A8" s="15" t="inlineStr">
        <is>
          <t>Financial Controls</t>
        </is>
      </c>
      <c r="B8" s="16" t="inlineStr">
        <is>
          <t>Controls that bound financial blast radius — transaction caps, daily aggregate limits, mandatory dual-control, revocation paths.</t>
        </is>
      </c>
    </row>
    <row r="9" ht="38" customHeight="1">
      <c r="A9" s="15" t="inlineStr">
        <is>
          <t>Logging &amp; Audit</t>
        </is>
      </c>
      <c r="B9" s="16" t="inlineStr">
        <is>
          <t>Reproducible logs of model inputs, outputs, prompts, retrieved context, and tool calls for investigation and regulator response.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23" t="inlineStr">
        <is>
          <t>Topic</t>
        </is>
      </c>
      <c r="B1" s="23" t="inlineStr">
        <is>
          <t>Specification detail</t>
        </is>
      </c>
    </row>
    <row r="2" ht="60" customHeight="1">
      <c r="A2" s="24" t="inlineStr">
        <is>
          <t>AML.T0048 sub-techniques</t>
        </is>
      </c>
      <c r="B2" s="24" t="inlineStr">
        <is>
          <t>ATLAS structures External Harms (AML.T0048) into sub-techniques. The financial-loss case is captured precisely by AML.T0048.000 "Financial Harm" — ATLAS uses the term "Financial Harm" in the catalog.</t>
        </is>
      </c>
    </row>
    <row r="3" ht="60" customHeight="1">
      <c r="A3" s="24" t="inlineStr">
        <is>
          <t>AML.T0018 parent tactics</t>
        </is>
      </c>
      <c r="B3" s="24" t="inlineStr">
        <is>
          <t>ATLAS lists Backdoor AI Model under both "Persistence" and "AI Attack Staging" tactics, depending on whether the backdoor is staged before deployment or seeded post-deployment.</t>
        </is>
      </c>
    </row>
    <row r="4" ht="60" customHeight="1">
      <c r="A4" s="24" t="inlineStr">
        <is>
          <t>AML.T0000 official name</t>
        </is>
      </c>
      <c r="B4" s="24" t="inlineStr">
        <is>
          <t>The catalog name includes "for": "Search for Victim's Publicly Available Research Materials."</t>
        </is>
      </c>
    </row>
    <row r="5" ht="60" customHeight="1">
      <c r="A5" s="24" t="inlineStr">
        <is>
          <t>ML → AI naming evolution</t>
        </is>
      </c>
      <c r="B5" s="24" t="inlineStr">
        <is>
          <t>ATLAS has been renaming the prefix from "ML" to "AI" in some technique names (e.g., AML.T0040 is "AI Model Inference API Access" in current revisions). Technique IDs are the stable canonical reference; treat the ID as authoritative when the name on the live catalog differs from the workbook label.</t>
        </is>
      </c>
    </row>
    <row r="6" ht="60" customHeight="1">
      <c r="A6" s="24" t="inlineStr">
        <is>
          <t>Authoritative reference</t>
        </is>
      </c>
      <c r="B6" s="24" t="inlineStr">
        <is>
          <t>See https://atlas.mitre.org/ and per-technique pages (e.g., https://atlas.mitre.org/techniques/AML.T0048/).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2026-05-08T15:52:28Z</dcterms:created>
  <dcterms:modified xmlns:dcterms="http://purl.org/dc/terms/" xmlns:xsi="http://www.w3.org/2001/XMLSchema-instance" xsi:type="dcterms:W3CDTF">2026-08-20T19:48:18Z</dcterms:modified>
  <cp:lastModifiedBy>Sohbet Dovranov</cp:lastModifiedBy>
</cp:coreProperties>
</file>