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enario Brief" sheetId="1" state="visible" r:id="rId3"/>
    <sheet name="Threat Model" sheetId="2" state="visible" r:id="rId4"/>
    <sheet name="Board Brief" sheetId="3" state="visible" r:id="rId5"/>
    <sheet name="Scoring Rubric" sheetId="4" state="visible" r:id="rId6"/>
    <sheet name="ATLAS TTP Reference" sheetId="5" state="visible" r:id="rId7"/>
    <sheet name="Control Family Reference" sheetId="6" state="visible" r:id="rId8"/>
    <sheet name="ATLAS Reference Notes"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<sst xmlns="http://schemas.openxmlformats.org/spreadsheetml/2006/main" count="238" uniqueCount="193">
  <si>
    <t xml:space="preserve">FinTrust — AI Threat Modeling Exercise (MITRE ATLAS)</t>
  </si>
  <si>
    <t xml:space="preserve">COMPANY: FinTrust (650 employees, fintech)</t>
  </si>
  <si>
    <t xml:space="preserve">SYSTEM: FinTrust IDV — face-matching identity-verification ML pipeline. Used during customer onboarding (KYC) to decide whether to admit a new customer to the platform.</t>
  </si>
  <si>
    <t xml:space="preserve">DEPLOYMENT: Public mobile-app endpoint. Customer uploads a selfie + a photo of their government-issued ID. The face-match model returns a similarity score; a downstream rules engine combines that score with document-OCR signals to make the KYC admit / decline / manual-review decision.</t>
  </si>
  <si>
    <t xml:space="preserve">REGULATORY CONTEXT: GDPR (biometric data — Art. 9 special-category data); EU AI Act (biometric identification — High-Risk Annex III §1); US BSA/AML (KYC obligations); state biometric privacy laws (BIPA-style).</t>
  </si>
  <si>
    <t xml:space="preserve">RECENT TRIGGER: A competitor's KYC system was bypassed last quarter using printed-photo presentation attacks. The AI review board has put FinTrust IDV's launch on hold until a threat model is complete.</t>
  </si>
  <si>
    <t xml:space="preserve">ARCHITECTURE (one-line per node):</t>
  </si>
  <si>
    <t xml:space="preserve">  1. End user → mobile app (camera capture + ID upload).</t>
  </si>
  <si>
    <t xml:space="preserve">  2. App → FinTrust API gateway (TLS, mobile-app attestation, public endpoint).</t>
  </si>
  <si>
    <t xml:space="preserve">  3. Gateway → Image preprocessing service (face crop, ID document straightening).</t>
  </si>
  <si>
    <t xml:space="preserve">  4. Preprocessor → Face-match ML model (in-house, fine-tuned ResNet-style embedder + cosine similarity).</t>
  </si>
  <si>
    <t xml:space="preserve">  5. Model → KYC rules engine (combines similarity score, OCR signals, sanctions hit).</t>
  </si>
  <si>
    <t xml:space="preserve">  6. Rules engine → KYC decision (admit / decline / manual review).</t>
  </si>
  <si>
    <t xml:space="preserve">  7. Monthly retrain pipeline pulls new ID-photo pairs from production queue (with consent flag).</t>
  </si>
  <si>
    <t xml:space="preserve">YOUR TASK:</t>
  </si>
  <si>
    <t xml:space="preserve">Lead the threat-modeling session for FinTrust IDV ahead of launch. Two ATLAS TTPs are scoped end-to-end as worked examples; you scope 3 more (their IDs are pre-selected on the Threat Model sheet; the ATLAS TTP Reference sheet has the full candidate list), then produce a 1-page board-facing summary on the Board Brief sheet.</t>
  </si>
  <si>
    <t xml:space="preserve">COLOR LEGEND:</t>
  </si>
  <si>
    <t xml:space="preserve">Blue Header — Sheet / column headers</t>
  </si>
  <si>
    <t xml:space="preserve">Green — Scenario information</t>
  </si>
  <si>
    <t xml:space="preserve">Light Blue — Pre-filled context / worked example rows</t>
  </si>
  <si>
    <t xml:space="preserve">Pink — Student work areas — fill these cells</t>
  </si>
  <si>
    <t xml:space="preserve">Yellow — Reference / rubric (read-only)</t>
  </si>
  <si>
    <t xml:space="preserve">TTP ID</t>
  </si>
  <si>
    <t xml:space="preserve">TTP Name</t>
  </si>
  <si>
    <t xml:space="preserve">ATLAS Tactic</t>
  </si>
  <si>
    <t xml:space="preserve">Architecture Scoping</t>
  </si>
  <si>
    <t xml:space="preserve">Likelihood (1-5)</t>
  </si>
  <si>
    <t xml:space="preserve">Impact (1-5)</t>
  </si>
  <si>
    <t xml:space="preserve">Risk Score</t>
  </si>
  <si>
    <t xml:space="preserve">Risk Level</t>
  </si>
  <si>
    <t xml:space="preserve">Control Family</t>
  </si>
  <si>
    <t xml:space="preserve">Named Controls</t>
  </si>
  <si>
    <t xml:space="preserve">Owner</t>
  </si>
  <si>
    <t xml:space="preserve">Status</t>
  </si>
  <si>
    <t xml:space="preserve">AML.T0006</t>
  </si>
  <si>
    <t xml:space="preserve">Active Scanning</t>
  </si>
  <si>
    <t xml:space="preserve">Reconnaissance</t>
  </si>
  <si>
    <t xml:space="preserve">The mobile-app endpoint is publicly reachable; an attacker can scrape app binaries from the Play Store / App Store, extract the API contract, and probe the gateway to map FinTrust's IDV surface before any other technique is attempted.</t>
  </si>
  <si>
    <t xml:space="preserve">Gateway Controls</t>
  </si>
  <si>
    <t xml:space="preserve">1) Mobile-app attestation (Play Integrity / App Attest) at the gateway. 2) WAF rules on anomalous probe patterns. 3) Honeypot endpoints to detect mapping behavior.</t>
  </si>
  <si>
    <t xml:space="preserve">Platform Security</t>
  </si>
  <si>
    <t xml:space="preserve">Open</t>
  </si>
  <si>
    <t xml:space="preserve">AML.T0040</t>
  </si>
  <si>
    <t xml:space="preserve">ML Model Inference API Access</t>
  </si>
  <si>
    <t xml:space="preserve">ML Model Access</t>
  </si>
  <si>
    <t xml:space="preserve">The face-match endpoint is exposed via the mobile-app gateway; once an attacker has passed app attestation, they can query the model with arbitrary image pairs and observe similarity scores, providing the substrate for downstream evasion or extraction attacks.</t>
  </si>
  <si>
    <t xml:space="preserve">Gateway Controls + Behavioral Monitoring</t>
  </si>
  <si>
    <t xml:space="preserve">1) Per-account and per-IP rate limits at the gateway. 2) Anomaly detection on query-volume per session. 3) Score-quantization (return banded scores rather than raw cosine values).</t>
  </si>
  <si>
    <t xml:space="preserve">AML.T0015</t>
  </si>
  <si>
    <t xml:space="preserve">Evade ML Model — Deepfake / Generative-Liveness Bypass</t>
  </si>
  <si>
    <t xml:space="preserve">Defense Evasion / Initial Access</t>
  </si>
  <si>
    <t xml:space="preserve">[Your response here — one sentence on how a deepfake / generative-liveness bypass shows up against FinTrust's mobile face-match KYC endpoint; reference the specific surface (selfie upload, liveness check, face-match model) and the recent competitor incident in the Scenario Brief.]</t>
  </si>
  <si>
    <t xml:space="preserve">[Your response here — score 1-5 from the Scoring Rubric sheet; weigh how documented this attack class is against comparable KYC systems and FinTrust's public mobile exposure.]</t>
  </si>
  <si>
    <t xml:space="preserve">[Your response here — score 1-5 from the Scoring Rubric sheet; weigh GDPR Art. 9 / EU AI Act exposure and financial-loss blast radius if a synthetic identity passes KYC.]</t>
  </si>
  <si>
    <t xml:space="preserve">[Your response here — pick the primary family from the Control Family Reference sheet that binds at the pre-model input surface for this attack.]</t>
  </si>
  <si>
    <t xml:space="preserve">[Your response here — list 2-3 named, concrete controls (e.g., specific liveness technique, challenge type, on-device check) that operationalize the family you picked in column I.]</t>
  </si>
  <si>
    <t xml:space="preserve">[Your response here — name the team that owns model-side defenses for FinTrust IDV (think about which role builds and tunes the face-match pipeline).]</t>
  </si>
  <si>
    <t xml:space="preserve">[Your response here — pick a workflow status (e.g., Open / In Progress / Mitigated) consistent with a pre-launch threat model where the control is not yet built.]</t>
  </si>
  <si>
    <t xml:space="preserve">AML.T0024</t>
  </si>
  <si>
    <t xml:space="preserve">Exfiltration via ML Inference API</t>
  </si>
  <si>
    <t xml:space="preserve">Exfiltration</t>
  </si>
  <si>
    <t xml:space="preserve">[Your response here — one sentence on how model-extraction / membership-inference shows up against FinTrust's inference API; reference what an attacker gains (surrogate of the face-match embedder, recovery of enrolled biometrics).]</t>
  </si>
  <si>
    <t xml:space="preserve">[Your response here — score 1-5 from the Scoring Rubric sheet; weigh attacker sophistication required vs. the fact that the API is public and already rate-limited per AML.T0040.]</t>
  </si>
  <si>
    <t xml:space="preserve">[Your response here — score 1-5 from the Scoring Rubric sheet; weigh regulatory exposure (biometric data) and competitive loss from a surrogate model leaking.]</t>
  </si>
  <si>
    <t xml:space="preserve">[Your response here — pick the family (or combination) from the Control Family Reference sheet best suited to detecting high-volume, pattern-based query abuse and capping API exposure.]</t>
  </si>
  <si>
    <t xml:space="preserve">[Your response here — list 2-3 named controls (e.g., score quantization, daily query caps, extraction-pattern detection) that operationalize the family you picked in column I.]</t>
  </si>
  <si>
    <t xml:space="preserve">[Your response here — name the team that owns inference-API defenses and model-side telemetry for FinTrust IDV.]</t>
  </si>
  <si>
    <t xml:space="preserve">[Your response here — pick a workflow status consistent with a pre-launch threat model.]</t>
  </si>
  <si>
    <t xml:space="preserve">AML.T0020</t>
  </si>
  <si>
    <t xml:space="preserve">Poison Training Data</t>
  </si>
  <si>
    <t xml:space="preserve">Persistence / Resource Development</t>
  </si>
  <si>
    <t xml:space="preserve">[Your response here — one sentence on how a data-poisoning attack shows up against FinTrust's monthly retrain pipeline; reference the production-queue ingestion path described in the Scenario Brief architecture.]</t>
  </si>
  <si>
    <t xml:space="preserve">[Your response here — score 1-5 from the Scoring Rubric sheet; weigh how hard it is for an attacker to push enough poisoned samples through onboarding to move the model.]</t>
  </si>
  <si>
    <t xml:space="preserve">[Your response here — score 1-5 from the Scoring Rubric sheet; weigh worst-case impact if the retrained model develops a targeted blind spot (KYC bypass at scale).]</t>
  </si>
  <si>
    <t xml:space="preserve">[Your response here — pick the family from the Control Family Reference sheet that binds on the training / retrain ingestion path.]</t>
  </si>
  <si>
    <t xml:space="preserve">[Your response here — list 2-3 named controls (e.g., outlier filtering, adversarial canary test set, model-promotion gate) that operationalize the family you picked in column I.]</t>
  </si>
  <si>
    <t xml:space="preserve">[Your response here — name the team that owns the retrain pipeline and model-promotion gates for FinTrust IDV.]</t>
  </si>
  <si>
    <t xml:space="preserve">BOARD BRIEF — FinTrust IDV — pre-launch board brief</t>
  </si>
  <si>
    <t xml:space="preserve">System under review:</t>
  </si>
  <si>
    <t xml:space="preserve">FinTrust IDV: face-matching identity-verification ML pipeline on a public mobile-app endpoint; in-house face-match model; downstream KYC rules engine; monthly retrain pulling from production with consent flag.</t>
  </si>
  <si>
    <t xml:space="preserve">A. TOP 3 TTPS (ranked by Risk Score; tie-break by Impact)</t>
  </si>
  <si>
    <t xml:space="preserve">Rank</t>
  </si>
  <si>
    <t xml:space="preserve">[Your response here — TTP ID for rank 1 from your Threat Model sheet (highest Risk Score first; tie-break by Impact).]</t>
  </si>
  <si>
    <t xml:space="preserve">[Your response here — TTP name matching the ID in column B; copy from the ATLAS TTP Reference sheet or your Threat Model row.]</t>
  </si>
  <si>
    <t xml:space="preserve">[Your response here — Risk Score from your Threat Model sheet (Likelihood × Impact) for this TTP.]</t>
  </si>
  <si>
    <t xml:space="preserve">[Your response here — Risk Level (Critical/High/Medium/Low) from the Scoring Rubric thresholds, matching the score in column D.]</t>
  </si>
  <si>
    <t xml:space="preserve">[Your response here — TTP ID for rank 2 from your Threat Model sheet (highest Risk Score first; tie-break by Impact).]</t>
  </si>
  <si>
    <t xml:space="preserve">[Your response here — TTP ID for rank 3 from your Threat Model sheet (highest Risk Score first; tie-break by Impact).]</t>
  </si>
  <si>
    <t xml:space="preserve">B. RECOMMENDED CONTROLS PER TOP TTP</t>
  </si>
  <si>
    <t xml:space="preserve">TTP</t>
  </si>
  <si>
    <t xml:space="preserve">Recommended controls + residual risk after controls</t>
  </si>
  <si>
    <t xml:space="preserve">[Your response here — TTP ID + name matching the same-rank row in Section A above (e.g., 'AML.TXXXX — &lt;name&gt;').]</t>
  </si>
  <si>
    <t xml:space="preserve">[Your response here — 1-2 sentences naming the recommended controls for this TTP (drawn from your Threat Model column J / Control Family Reference) and stating the residual risk you expect after they are in place.]</t>
  </si>
  <si>
    <t xml:space="preserve">C. RECOMMENDATION TO THE AI REVIEW BOARD</t>
  </si>
  <si>
    <t xml:space="preserve">Decision:</t>
  </si>
  <si>
    <t xml:space="preserve">[Your response here — pick exactly one: Launch / Conditional Launch / No-Go.]</t>
  </si>
  <si>
    <t xml:space="preserve">Rationale:</t>
  </si>
  <si>
    <t xml:space="preserve">[Your response here — one paragraph. Tie your decision back to your Top-3 TTPs and residual-risk view; if Conditional, list the specific pre-launch conditions (named controls + measurable gate) that must be met.]</t>
  </si>
  <si>
    <t xml:space="preserve">Prepared by:</t>
  </si>
  <si>
    <t xml:space="preserve">[Your response here — your name / role for the brief (e.g., 'AI Security Architect').]</t>
  </si>
  <si>
    <t xml:space="preserve">Companion artifact:</t>
  </si>
  <si>
    <t xml:space="preserve">Threat Model sheet (this workbook)</t>
  </si>
  <si>
    <t xml:space="preserve">Frameworks anchored:</t>
  </si>
  <si>
    <t xml:space="preserve">MITRE ATLAS (primary); STRIDE-ML / LINDDUN (design-time cross-check).</t>
  </si>
  <si>
    <t xml:space="preserve">LIKELIHOOD SCALE (1–5)</t>
  </si>
  <si>
    <t xml:space="preserve">1</t>
  </si>
  <si>
    <t xml:space="preserve">Rare — extremely unlikely to occur (&lt; 5%) given current architecture / threat landscape</t>
  </si>
  <si>
    <t xml:space="preserve">2</t>
  </si>
  <si>
    <t xml:space="preserve">Unlikely — low probability (5–25%); requires sophisticated attacker or unusual circumstances</t>
  </si>
  <si>
    <t xml:space="preserve">3</t>
  </si>
  <si>
    <t xml:space="preserve">Possible — moderate probability (25–50%); plausible against a motivated attacker</t>
  </si>
  <si>
    <t xml:space="preserve">4</t>
  </si>
  <si>
    <t xml:space="preserve">Likely — high probability (50–75%); within 12 months given the public surface</t>
  </si>
  <si>
    <t xml:space="preserve">5</t>
  </si>
  <si>
    <t xml:space="preserve">Almost Certain — very likely (&gt; 75%); already documented against comparable systems</t>
  </si>
  <si>
    <t xml:space="preserve">IMPACT SCALE (1–5)</t>
  </si>
  <si>
    <t xml:space="preserve">Negligible — minimal organizational or user impact; recoverable with internal handling</t>
  </si>
  <si>
    <t xml:space="preserve">Minor — limited user impact; some manual response cost; no regulatory exposure</t>
  </si>
  <si>
    <t xml:space="preserve">Moderate — affects a measurable user subset; possible regulatory inquiry; brand exposure</t>
  </si>
  <si>
    <t xml:space="preserve">Major — broad user impact; clear regulatory exposure; material financial loss</t>
  </si>
  <si>
    <t xml:space="preserve">Catastrophic — systemic failure; large-scale user harm; regulatory action; existential brand risk</t>
  </si>
  <si>
    <t xml:space="preserve">RISK LEVEL THRESHOLDS  (Risk Score = Likelihood × Impact)</t>
  </si>
  <si>
    <t xml:space="preserve">CRITICAL</t>
  </si>
  <si>
    <t xml:space="preserve">≥ 15 — Immediate executive attention; block launch until mitigated</t>
  </si>
  <si>
    <t xml:space="preserve">HIGH</t>
  </si>
  <si>
    <t xml:space="preserve">10–14 — Prioritize mitigation in current sprint; revisit at AI review board</t>
  </si>
  <si>
    <t xml:space="preserve">MEDIUM</t>
  </si>
  <si>
    <t xml:space="preserve">5–9 — Schedule mitigation within 90 days; track in risk register</t>
  </si>
  <si>
    <t xml:space="preserve">LOW</t>
  </si>
  <si>
    <t xml:space="preserve">&lt; 5 — Monitor; mitigate as resources allow</t>
  </si>
  <si>
    <t xml:space="preserve">One-Line Description</t>
  </si>
  <si>
    <t xml:space="preserve">AML.T0000</t>
  </si>
  <si>
    <t xml:space="preserve">Search Victim's Publicly Available Research Materials</t>
  </si>
  <si>
    <t xml:space="preserve">Adversary scans public papers, model cards, or repos to learn the target's model architecture, training data, or guardrails.</t>
  </si>
  <si>
    <t xml:space="preserve">Adversary probes the AI system's API surface — endpoints, rate limits, auth — to map the attack surface.</t>
  </si>
  <si>
    <t xml:space="preserve">Evade ML Model</t>
  </si>
  <si>
    <t xml:space="preserve">Adversary crafts inputs designed to be misclassified by the model (adversarial / presentation / prompt-evasion attacks).</t>
  </si>
  <si>
    <t xml:space="preserve">AML.T0018</t>
  </si>
  <si>
    <t xml:space="preserve">Backdoor ML Model</t>
  </si>
  <si>
    <t xml:space="preserve">Persistence</t>
  </si>
  <si>
    <t xml:space="preserve">Adversary embeds a trigger into a model (during training or fine-tune) so that specific inputs produce attacker-chosen outputs.</t>
  </si>
  <si>
    <t xml:space="preserve">Adversary contaminates training or retrain data to degrade performance, induce bias, or plant a backdoor.</t>
  </si>
  <si>
    <t xml:space="preserve">Adversary issues large numbers of queries to reconstruct a surrogate model, recover training data, or infer membership.</t>
  </si>
  <si>
    <t xml:space="preserve">AML.T0029</t>
  </si>
  <si>
    <t xml:space="preserve">Denial of ML Service</t>
  </si>
  <si>
    <t xml:space="preserve">Impact</t>
  </si>
  <si>
    <t xml:space="preserve">Adversary degrades or disables a model — through resource exhaustion, query flooding, or amplification — to deny service.</t>
  </si>
  <si>
    <t xml:space="preserve">Adversary obtains the ability to query the deployed model and observe outputs (precondition for many other techniques).</t>
  </si>
  <si>
    <t xml:space="preserve">AML.T0043</t>
  </si>
  <si>
    <t xml:space="preserve">Craft Adversarial Data</t>
  </si>
  <si>
    <t xml:space="preserve">ML Attack Staging</t>
  </si>
  <si>
    <t xml:space="preserve">Adversary generates adversarial examples (white-box, black-box, or transfer) targeting the deployed model.</t>
  </si>
  <si>
    <t xml:space="preserve">AML.T0044</t>
  </si>
  <si>
    <t xml:space="preserve">Full ML Model Access</t>
  </si>
  <si>
    <t xml:space="preserve">Adversary obtains direct access to model weights, enabling any white-box attack.</t>
  </si>
  <si>
    <t xml:space="preserve">AML.T0048</t>
  </si>
  <si>
    <t xml:space="preserve">External Harms</t>
  </si>
  <si>
    <t xml:space="preserve">Adversary leverages model output to cause real-world harm — financial loss, reputational damage, user harm, regulatory breach.</t>
  </si>
  <si>
    <t xml:space="preserve">AML.T0051</t>
  </si>
  <si>
    <t xml:space="preserve">LLM Prompt Injection</t>
  </si>
  <si>
    <t xml:space="preserve">Initial Access</t>
  </si>
  <si>
    <t xml:space="preserve">Adversary inserts instructions into input that an LLM treats as authoritative, overriding system prompts or invoking attacker-chosen tool calls.</t>
  </si>
  <si>
    <t xml:space="preserve">AML.T0057</t>
  </si>
  <si>
    <t xml:space="preserve">LLM Data Leakage</t>
  </si>
  <si>
    <t xml:space="preserve">Adversary induces an LLM to emit secrets or training data (system prompt, retrieved context, PII) through crafted prompts.</t>
  </si>
  <si>
    <t xml:space="preserve">What it covers</t>
  </si>
  <si>
    <t xml:space="preserve">Input Filtering</t>
  </si>
  <si>
    <t xml:space="preserve">Pre-model controls applied to inbound input — prompt-injection classifiers, adversarial-input detectors, liveness checks, input schema validation.</t>
  </si>
  <si>
    <t xml:space="preserve">Output Moderation</t>
  </si>
  <si>
    <t xml:space="preserve">Post-model controls applied to model output — toxicity / PII filters, jailbreak detectors, system-prompt-leak detectors, response gating.</t>
  </si>
  <si>
    <t xml:space="preserve">Network-layer controls — authentication, per-IP / per-account rate limits, mobile-app attestation, WAF, bot detection, CAPTCHA.</t>
  </si>
  <si>
    <t xml:space="preserve">Behavioral Monitoring</t>
  </si>
  <si>
    <t xml:space="preserve">Telemetry-driven controls — anomaly detection on query patterns, session-level outlier detection, drift detection, abuse-pattern alerting.</t>
  </si>
  <si>
    <t xml:space="preserve">Tool-Use Guardrails</t>
  </si>
  <si>
    <t xml:space="preserve">Controls on agent tool calls — allowlists, server-side parameter validation, hard caps, mandatory human-in-the-loop above thresholds.</t>
  </si>
  <si>
    <t xml:space="preserve">Training-Pipeline Integrity</t>
  </si>
  <si>
    <t xml:space="preserve">Controls on model training / retrain — provenance tracking, outlier filtering, hold-out adversarial test sets, model-promotion gates.</t>
  </si>
  <si>
    <t xml:space="preserve">Financial Controls</t>
  </si>
  <si>
    <t xml:space="preserve">Controls that bound financial blast radius — transaction caps, daily aggregate limits, mandatory dual-control, revocation paths.</t>
  </si>
  <si>
    <t xml:space="preserve">Logging &amp; Audit</t>
  </si>
  <si>
    <t xml:space="preserve">Reproducible logs of model inputs, outputs, prompts, retrieved context, and tool calls for investigation and regulator response.</t>
  </si>
  <si>
    <t xml:space="preserve">Topic</t>
  </si>
  <si>
    <t xml:space="preserve">Specification detail</t>
  </si>
  <si>
    <t xml:space="preserve">AML.T0048 sub-techniques</t>
  </si>
  <si>
    <t xml:space="preserve">ATLAS structures External Harms (AML.T0048) into sub-techniques. The financial-loss case is captured precisely by AML.T0048.000 "Financial Harm" — ATLAS uses the term "Financial Harm" in the catalog.</t>
  </si>
  <si>
    <t xml:space="preserve">AML.T0018 parent tactics</t>
  </si>
  <si>
    <t xml:space="preserve">ATLAS lists Backdoor ML Model under both "Persistence" and "ML Attack Staging" tactics, depending on whether the backdoor is staged before deployment or seeded post-deployment.</t>
  </si>
  <si>
    <t xml:space="preserve">AML.T0000 official name</t>
  </si>
  <si>
    <t xml:space="preserve">The catalog name includes "for": "Search for Victim's Publicly Available Research Materials."</t>
  </si>
  <si>
    <t xml:space="preserve">ML → AI naming evolution</t>
  </si>
  <si>
    <t xml:space="preserve">ATLAS has been renaming the prefix from "ML" to "AI" in some technique names (e.g., AML.T0040 is "AI Model Inference API Access" in current revisions). Technique IDs are the stable canonical reference; treat the ID as authoritative when the name on the live catalog differs from the workbook label.</t>
  </si>
  <si>
    <t xml:space="preserve">Authoritative reference</t>
  </si>
  <si>
    <t xml:space="preserve">See https://atlas.mitre.org/ and per-technique pages (e.g., https://atlas.mitre.org/techniques/AML.T0048/).</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</si>
</sst>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1"/>
      <name val="Calibri"/>
      <family val="0"/>
      <charset val="1"/>
    </font>
    <font>
      <b val="true"/>
      <sz val="11"/>
      <name val="Calibri"/>
      <family val="0"/>
      <charset val="1"/>
    </font>
    <font>
      <b val="true"/>
      <sz val="11"/>
      <color rgb="FFFFFFFF"/>
      <name val="Cambria"/>
      <family val="0"/>
      <charset val="1"/>
    </font>
  </fonts>
  <fills count="7">
    <fill>
      <patternFill patternType="none"/>
    </fill>
    <fill>
      <patternFill patternType="gray125"/>
    </fill>
    <fill>
      <patternFill patternType="solid">
        <fgColor rgb="FF4472C4"/>
        <bgColor rgb="FF666699"/>
      </patternFill>
    </fill>
    <fill>
      <patternFill patternType="solid">
        <fgColor rgb="FFC6EFCE"/>
        <bgColor rgb="FFD6E4F0"/>
      </patternFill>
    </fill>
    <fill>
      <patternFill patternType="solid">
        <fgColor rgb="FFD6E4F0"/>
        <bgColor rgb="FFC6EFCE"/>
      </patternFill>
    </fill>
    <fill>
      <patternFill patternType="solid">
        <fgColor rgb="FFFCE4EC"/>
        <bgColor rgb="FFD6E4F0"/>
      </patternFill>
    </fill>
    <fill>
      <patternFill patternType="solid">
        <fgColor rgb="FFFFEB9C"/>
        <bgColor rgb="FFFFCC9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5" fillId="3"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5" fillId="4" borderId="0" xfId="0" applyFont="true" applyBorder="false" applyAlignment="true" applyProtection="true">
      <alignment horizontal="general" vertical="top" textRotation="0" wrapText="true" indent="0" shrinkToFit="false"/>
      <protection locked="true" hidden="false"/>
    </xf>
    <xf numFmtId="164" fontId="5" fillId="5" borderId="0" xfId="0" applyFont="true" applyBorder="false" applyAlignment="true" applyProtection="true">
      <alignment horizontal="general" vertical="top" textRotation="0" wrapText="true" indent="0" shrinkToFit="false"/>
      <protection locked="true" hidden="false"/>
    </xf>
    <xf numFmtId="164" fontId="5" fillId="6" borderId="0" xfId="0" applyFont="true" applyBorder="false" applyAlignment="true" applyProtection="true">
      <alignment horizontal="general" vertical="top" textRotation="0" wrapText="true" indent="0" shrinkToFit="false"/>
      <protection locked="true" hidden="false"/>
    </xf>
    <xf numFmtId="164" fontId="4" fillId="2" borderId="1" xfId="0" applyFont="true" applyBorder="true" applyAlignment="true" applyProtection="true">
      <alignment horizontal="center" vertical="top" textRotation="0" wrapText="true" indent="0" shrinkToFit="false"/>
      <protection locked="true" hidden="false"/>
    </xf>
    <xf numFmtId="164" fontId="5" fillId="4" borderId="1" xfId="0" applyFont="true" applyBorder="true" applyAlignment="true" applyProtection="true">
      <alignment horizontal="center" vertical="top" textRotation="0" wrapText="true" indent="0" shrinkToFit="false"/>
      <protection locked="true" hidden="false"/>
    </xf>
    <xf numFmtId="164" fontId="5" fillId="4" borderId="1" xfId="0" applyFont="true" applyBorder="true" applyAlignment="true" applyProtection="true">
      <alignment horizontal="general" vertical="top" textRotation="0" wrapText="true" indent="0" shrinkToFit="false"/>
      <protection locked="true" hidden="false"/>
    </xf>
    <xf numFmtId="164" fontId="5" fillId="5" borderId="1" xfId="0" applyFont="true" applyBorder="true" applyAlignment="true" applyProtection="true">
      <alignment horizontal="center" vertical="top" textRotation="0" wrapText="true" indent="0" shrinkToFit="false"/>
      <protection locked="true" hidden="false"/>
    </xf>
    <xf numFmtId="164" fontId="5" fillId="5" borderId="1" xfId="0" applyFont="true" applyBorder="tru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5" fillId="3" borderId="1" xfId="0" applyFont="true" applyBorder="true" applyAlignment="true" applyProtection="true">
      <alignment horizontal="general" vertical="top" textRotation="0" wrapText="true" indent="0" shrinkToFit="false"/>
      <protection locked="true" hidden="false"/>
    </xf>
    <xf numFmtId="164" fontId="6" fillId="5" borderId="1" xfId="0" applyFont="true" applyBorder="true" applyAlignment="true" applyProtection="true">
      <alignment horizontal="center" vertical="top" textRotation="0" wrapText="true" indent="0" shrinkToFit="false"/>
      <protection locked="true" hidden="false"/>
    </xf>
    <xf numFmtId="164" fontId="0" fillId="5" borderId="1" xfId="0" applyFont="true" applyBorder="true" applyAlignment="true" applyProtection="true">
      <alignment horizontal="general" vertical="top" textRotation="0" wrapText="true" indent="0" shrinkToFit="false"/>
      <protection locked="true" hidden="false"/>
    </xf>
    <xf numFmtId="164" fontId="6" fillId="6" borderId="1" xfId="0" applyFont="true" applyBorder="true" applyAlignment="true" applyProtection="true">
      <alignment horizontal="general" vertical="top" textRotation="0" wrapText="true" indent="0" shrinkToFit="false"/>
      <protection locked="true" hidden="false"/>
    </xf>
    <xf numFmtId="164" fontId="5" fillId="6" borderId="1" xfId="0" applyFont="true" applyBorder="true" applyAlignment="true" applyProtection="true">
      <alignment horizontal="general" vertical="top" textRotation="0" wrapText="tru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EC"/>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 collapsed="false" customWidth="true" hidden="false" outlineLevel="0" max="2" min="2" style="1" width="30"/>
  </cols>
  <sheetData>
    <row r="1" customFormat="false" ht="21.75" hidden="false" customHeight="true" outlineLevel="0" collapsed="false">
      <c r="A1" s="2" t="s">
        <v>0</v>
      </c>
    </row>
    <row r="2" customFormat="false" ht="15" hidden="false" customHeight="false" outlineLevel="0" collapsed="false">
      <c r="A2" s="3"/>
    </row>
    <row r="3" customFormat="false" ht="15" hidden="false" customHeight="false" outlineLevel="0" collapsed="false">
      <c r="A3" s="4" t="s">
        <v>1</v>
      </c>
    </row>
    <row r="4" customFormat="false" ht="28.35" hidden="false" customHeight="false" outlineLevel="0" collapsed="false">
      <c r="A4" s="4" t="s">
        <v>2</v>
      </c>
    </row>
    <row r="5" customFormat="false" ht="41.75" hidden="false" customHeight="false" outlineLevel="0" collapsed="false">
      <c r="A5" s="4" t="s">
        <v>3</v>
      </c>
    </row>
    <row r="6" customFormat="false" ht="28.35" hidden="false" customHeight="false" outlineLevel="0" collapsed="false">
      <c r="A6" s="4" t="s">
        <v>4</v>
      </c>
    </row>
    <row r="7" customFormat="false" ht="28.35" hidden="false" customHeight="false" outlineLevel="0" collapsed="false">
      <c r="A7" s="4" t="s">
        <v>5</v>
      </c>
    </row>
    <row r="8" customFormat="false" ht="15" hidden="false" customHeight="false" outlineLevel="0" collapsed="false">
      <c r="A8" s="3"/>
    </row>
    <row r="9" customFormat="false" ht="15" hidden="false" customHeight="false" outlineLevel="0" collapsed="false">
      <c r="A9" s="5" t="s">
        <v>6</v>
      </c>
    </row>
    <row r="10" customFormat="false" ht="15" hidden="false" customHeight="false" outlineLevel="0" collapsed="false">
      <c r="A10" s="6" t="s">
        <v>7</v>
      </c>
    </row>
    <row r="11" customFormat="false" ht="15" hidden="false" customHeight="false" outlineLevel="0" collapsed="false">
      <c r="A11" s="6" t="s">
        <v>8</v>
      </c>
    </row>
    <row r="12" customFormat="false" ht="15" hidden="false" customHeight="false" outlineLevel="0" collapsed="false">
      <c r="A12" s="6" t="s">
        <v>9</v>
      </c>
    </row>
    <row r="13" customFormat="false" ht="15" hidden="false" customHeight="false" outlineLevel="0" collapsed="false">
      <c r="A13" s="6" t="s">
        <v>10</v>
      </c>
    </row>
    <row r="14" customFormat="false" ht="15" hidden="false" customHeight="false" outlineLevel="0" collapsed="false">
      <c r="A14" s="6" t="s">
        <v>11</v>
      </c>
    </row>
    <row r="15" customFormat="false" ht="15" hidden="false" customHeight="false" outlineLevel="0" collapsed="false">
      <c r="A15" s="6" t="s">
        <v>12</v>
      </c>
    </row>
    <row r="16" customFormat="false" ht="15" hidden="false" customHeight="false" outlineLevel="0" collapsed="false">
      <c r="A16" s="6" t="s">
        <v>13</v>
      </c>
    </row>
    <row r="17" customFormat="false" ht="15" hidden="false" customHeight="false" outlineLevel="0" collapsed="false">
      <c r="A17" s="3"/>
    </row>
    <row r="18" customFormat="false" ht="15" hidden="false" customHeight="false" outlineLevel="0" collapsed="false">
      <c r="A18" s="5" t="s">
        <v>14</v>
      </c>
    </row>
    <row r="19" customFormat="false" ht="41.75" hidden="false" customHeight="false" outlineLevel="0" collapsed="false">
      <c r="A19" s="4" t="s">
        <v>15</v>
      </c>
    </row>
    <row r="20" customFormat="false" ht="15" hidden="false" customHeight="false" outlineLevel="0" collapsed="false">
      <c r="A20" s="3"/>
    </row>
    <row r="21" customFormat="false" ht="15" hidden="false" customHeight="false" outlineLevel="0" collapsed="false">
      <c r="A21" s="5" t="s">
        <v>16</v>
      </c>
    </row>
    <row r="22" customFormat="false" ht="15" hidden="false" customHeight="false" outlineLevel="0" collapsed="false">
      <c r="A22" s="2" t="s">
        <v>17</v>
      </c>
    </row>
    <row r="23" customFormat="false" ht="15" hidden="false" customHeight="false" outlineLevel="0" collapsed="false">
      <c r="A23" s="4" t="s">
        <v>18</v>
      </c>
    </row>
    <row r="24" customFormat="false" ht="15" hidden="false" customHeight="false" outlineLevel="0" collapsed="false">
      <c r="A24" s="6" t="s">
        <v>19</v>
      </c>
    </row>
    <row r="25" customFormat="false" ht="15" hidden="false" customHeight="false" outlineLevel="0" collapsed="false">
      <c r="A25" s="7" t="s">
        <v>20</v>
      </c>
    </row>
    <row r="26" customFormat="false" ht="15" hidden="false" customHeight="false" outlineLevel="0" collapsed="false">
      <c r="A26" s="8"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28"/>
    <col collapsed="false" customWidth="true" hidden="false" outlineLevel="0" max="3" min="3" style="1" width="18"/>
    <col collapsed="false" customWidth="true" hidden="false" outlineLevel="0" max="4" min="4" style="1" width="55"/>
    <col collapsed="false" customWidth="true" hidden="false" outlineLevel="0" max="6" min="5" style="1" width="12"/>
    <col collapsed="false" customWidth="true" hidden="false" outlineLevel="0" max="7" min="7" style="1" width="10"/>
    <col collapsed="false" customWidth="true" hidden="false" outlineLevel="0" max="8" min="8" style="1" width="12"/>
    <col collapsed="false" customWidth="true" hidden="false" outlineLevel="0" max="9" min="9" style="1" width="32"/>
    <col collapsed="false" customWidth="true" hidden="false" outlineLevel="0" max="10" min="10" style="1" width="60"/>
    <col collapsed="false" customWidth="true" hidden="false" outlineLevel="0" max="11" min="11" style="1" width="22"/>
    <col collapsed="false" customWidth="true" hidden="false" outlineLevel="0" max="12" min="12" style="1" width="12"/>
  </cols>
  <sheetData>
    <row r="1" customFormat="false" ht="30" hidden="false" customHeight="true" outlineLevel="0" collapsed="false">
      <c r="A1" s="9" t="s">
        <v>22</v>
      </c>
      <c r="B1" s="9" t="s">
        <v>23</v>
      </c>
      <c r="C1" s="9" t="s">
        <v>24</v>
      </c>
      <c r="D1" s="9" t="s">
        <v>25</v>
      </c>
      <c r="E1" s="9" t="s">
        <v>26</v>
      </c>
      <c r="F1" s="9" t="s">
        <v>27</v>
      </c>
      <c r="G1" s="9" t="s">
        <v>28</v>
      </c>
      <c r="H1" s="9" t="s">
        <v>29</v>
      </c>
      <c r="I1" s="9" t="s">
        <v>30</v>
      </c>
      <c r="J1" s="9" t="s">
        <v>31</v>
      </c>
      <c r="K1" s="9" t="s">
        <v>32</v>
      </c>
      <c r="L1" s="9" t="s">
        <v>33</v>
      </c>
    </row>
    <row r="2" customFormat="false" ht="90" hidden="false" customHeight="true" outlineLevel="0" collapsed="false">
      <c r="A2" s="10" t="s">
        <v>34</v>
      </c>
      <c r="B2" s="11" t="s">
        <v>35</v>
      </c>
      <c r="C2" s="11" t="s">
        <v>36</v>
      </c>
      <c r="D2" s="11" t="s">
        <v>37</v>
      </c>
      <c r="E2" s="10" t="n">
        <v>5</v>
      </c>
      <c r="F2" s="10" t="n">
        <v>1</v>
      </c>
      <c r="G2" s="10" t="n">
        <f aca="false">E2*F2</f>
        <v>5</v>
      </c>
      <c r="H2" s="10" t="str">
        <f aca="false">IF(G2&gt;=15,"Critical",IF(G2&gt;=10,"High",IF(G2&gt;=5,"Medium","Low")))</f>
        <v>Medium</v>
      </c>
      <c r="I2" s="11" t="s">
        <v>38</v>
      </c>
      <c r="J2" s="11" t="s">
        <v>39</v>
      </c>
      <c r="K2" s="10" t="s">
        <v>40</v>
      </c>
      <c r="L2" s="10" t="s">
        <v>41</v>
      </c>
    </row>
    <row r="3" customFormat="false" ht="90" hidden="false" customHeight="true" outlineLevel="0" collapsed="false">
      <c r="A3" s="10" t="s">
        <v>42</v>
      </c>
      <c r="B3" s="11" t="s">
        <v>43</v>
      </c>
      <c r="C3" s="11" t="s">
        <v>44</v>
      </c>
      <c r="D3" s="11" t="s">
        <v>45</v>
      </c>
      <c r="E3" s="10" t="n">
        <v>4</v>
      </c>
      <c r="F3" s="10" t="n">
        <v>2</v>
      </c>
      <c r="G3" s="10" t="n">
        <f aca="false">E3*F3</f>
        <v>8</v>
      </c>
      <c r="H3" s="10" t="str">
        <f aca="false">IF(G3&gt;=15,"Critical",IF(G3&gt;=10,"High",IF(G3&gt;=5,"Medium","Low")))</f>
        <v>Medium</v>
      </c>
      <c r="I3" s="11" t="s">
        <v>46</v>
      </c>
      <c r="J3" s="11" t="s">
        <v>47</v>
      </c>
      <c r="K3" s="10" t="s">
        <v>40</v>
      </c>
      <c r="L3" s="10" t="s">
        <v>41</v>
      </c>
    </row>
    <row r="4" customFormat="false" ht="90" hidden="false" customHeight="true" outlineLevel="0" collapsed="false">
      <c r="A4" s="12" t="s">
        <v>48</v>
      </c>
      <c r="B4" s="13" t="s">
        <v>49</v>
      </c>
      <c r="C4" s="13" t="s">
        <v>50</v>
      </c>
      <c r="D4" s="13" t="s">
        <v>51</v>
      </c>
      <c r="E4" s="12" t="s">
        <v>52</v>
      </c>
      <c r="F4" s="12" t="s">
        <v>53</v>
      </c>
      <c r="G4" s="12" t="e">
        <f aca="false">IF(OR(E4="",F4=""),"",E4*F4)</f>
        <v>#VALUE!</v>
      </c>
      <c r="H4" s="12" t="e">
        <f aca="false">IF(G4="","",IF(G4&gt;=15,"Critical",IF(G4&gt;=10,"High",IF(G4&gt;=5,"Medium","Low"))))</f>
        <v>#VALUE!</v>
      </c>
      <c r="I4" s="13" t="s">
        <v>54</v>
      </c>
      <c r="J4" s="13" t="s">
        <v>55</v>
      </c>
      <c r="K4" s="12" t="s">
        <v>56</v>
      </c>
      <c r="L4" s="12" t="s">
        <v>57</v>
      </c>
    </row>
    <row r="5" customFormat="false" ht="90" hidden="false" customHeight="true" outlineLevel="0" collapsed="false">
      <c r="A5" s="12" t="s">
        <v>58</v>
      </c>
      <c r="B5" s="13" t="s">
        <v>59</v>
      </c>
      <c r="C5" s="13" t="s">
        <v>60</v>
      </c>
      <c r="D5" s="13" t="s">
        <v>61</v>
      </c>
      <c r="E5" s="12" t="s">
        <v>62</v>
      </c>
      <c r="F5" s="12" t="s">
        <v>63</v>
      </c>
      <c r="G5" s="12" t="e">
        <f aca="false">IF(OR(E5="",F5=""),"",E5*F5)</f>
        <v>#VALUE!</v>
      </c>
      <c r="H5" s="12" t="e">
        <f aca="false">IF(G5="","",IF(G5&gt;=15,"Critical",IF(G5&gt;=10,"High",IF(G5&gt;=5,"Medium","Low"))))</f>
        <v>#VALUE!</v>
      </c>
      <c r="I5" s="13" t="s">
        <v>64</v>
      </c>
      <c r="J5" s="13" t="s">
        <v>65</v>
      </c>
      <c r="K5" s="12" t="s">
        <v>66</v>
      </c>
      <c r="L5" s="12" t="s">
        <v>67</v>
      </c>
    </row>
    <row r="6" customFormat="false" ht="90" hidden="false" customHeight="true" outlineLevel="0" collapsed="false">
      <c r="A6" s="12" t="s">
        <v>68</v>
      </c>
      <c r="B6" s="13" t="s">
        <v>69</v>
      </c>
      <c r="C6" s="13" t="s">
        <v>70</v>
      </c>
      <c r="D6" s="13" t="s">
        <v>71</v>
      </c>
      <c r="E6" s="12" t="s">
        <v>72</v>
      </c>
      <c r="F6" s="12" t="s">
        <v>73</v>
      </c>
      <c r="G6" s="12" t="e">
        <f aca="false">IF(OR(E6="",F6=""),"",E6*F6)</f>
        <v>#VALUE!</v>
      </c>
      <c r="H6" s="12" t="e">
        <f aca="false">IF(G6="","",IF(G6&gt;=15,"Critical",IF(G6&gt;=10,"High",IF(G6&gt;=5,"Medium","Low"))))</f>
        <v>#VALUE!</v>
      </c>
      <c r="I6" s="13" t="s">
        <v>74</v>
      </c>
      <c r="J6" s="13" t="s">
        <v>75</v>
      </c>
      <c r="K6" s="12" t="s">
        <v>76</v>
      </c>
      <c r="L6" s="12" t="s">
        <v>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3" min="3" style="1" width="50"/>
    <col collapsed="false" customWidth="true" hidden="false" outlineLevel="0" max="5" min="4" style="1" width="14"/>
  </cols>
  <sheetData>
    <row r="1" customFormat="false" ht="24" hidden="false" customHeight="true" outlineLevel="0" collapsed="false">
      <c r="A1" s="9" t="s">
        <v>77</v>
      </c>
      <c r="B1" s="9"/>
      <c r="C1" s="9"/>
      <c r="D1" s="9"/>
      <c r="E1" s="9"/>
    </row>
    <row r="2" customFormat="false" ht="39.75" hidden="false" customHeight="true" outlineLevel="0" collapsed="false">
      <c r="A2" s="14" t="s">
        <v>78</v>
      </c>
      <c r="B2" s="15" t="s">
        <v>79</v>
      </c>
      <c r="C2" s="15"/>
      <c r="D2" s="15"/>
      <c r="E2" s="15"/>
    </row>
    <row r="4" customFormat="false" ht="21.75" hidden="false" customHeight="true" outlineLevel="0" collapsed="false">
      <c r="A4" s="9" t="s">
        <v>80</v>
      </c>
      <c r="B4" s="9"/>
      <c r="C4" s="9"/>
      <c r="D4" s="9"/>
      <c r="E4" s="9"/>
    </row>
    <row r="5" customFormat="false" ht="15" hidden="false" customHeight="false" outlineLevel="0" collapsed="false">
      <c r="A5" s="9" t="s">
        <v>81</v>
      </c>
      <c r="B5" s="9" t="s">
        <v>22</v>
      </c>
      <c r="C5" s="9" t="s">
        <v>23</v>
      </c>
      <c r="D5" s="9" t="s">
        <v>28</v>
      </c>
      <c r="E5" s="9" t="s">
        <v>29</v>
      </c>
    </row>
    <row r="6" customFormat="false" ht="25.5" hidden="false" customHeight="true" outlineLevel="0" collapsed="false">
      <c r="A6" s="12" t="n">
        <v>1</v>
      </c>
      <c r="B6" s="13" t="s">
        <v>82</v>
      </c>
      <c r="C6" s="13" t="s">
        <v>83</v>
      </c>
      <c r="D6" s="13" t="s">
        <v>84</v>
      </c>
      <c r="E6" s="13" t="s">
        <v>85</v>
      </c>
    </row>
    <row r="7" customFormat="false" ht="25.5" hidden="false" customHeight="true" outlineLevel="0" collapsed="false">
      <c r="A7" s="12" t="n">
        <v>2</v>
      </c>
      <c r="B7" s="13" t="s">
        <v>86</v>
      </c>
      <c r="C7" s="13" t="s">
        <v>83</v>
      </c>
      <c r="D7" s="13" t="s">
        <v>84</v>
      </c>
      <c r="E7" s="13" t="s">
        <v>85</v>
      </c>
    </row>
    <row r="8" customFormat="false" ht="25.5" hidden="false" customHeight="true" outlineLevel="0" collapsed="false">
      <c r="A8" s="12" t="n">
        <v>3</v>
      </c>
      <c r="B8" s="13" t="s">
        <v>87</v>
      </c>
      <c r="C8" s="13" t="s">
        <v>83</v>
      </c>
      <c r="D8" s="13" t="s">
        <v>84</v>
      </c>
      <c r="E8" s="13" t="s">
        <v>85</v>
      </c>
    </row>
    <row r="10" customFormat="false" ht="21.75" hidden="false" customHeight="true" outlineLevel="0" collapsed="false">
      <c r="A10" s="9" t="s">
        <v>88</v>
      </c>
      <c r="B10" s="9"/>
      <c r="C10" s="9"/>
      <c r="D10" s="9"/>
      <c r="E10" s="9"/>
    </row>
    <row r="11" customFormat="false" ht="15" hidden="false" customHeight="true" outlineLevel="0" collapsed="false">
      <c r="A11" s="9" t="s">
        <v>89</v>
      </c>
      <c r="B11" s="9"/>
      <c r="C11" s="9" t="s">
        <v>90</v>
      </c>
      <c r="D11" s="9"/>
      <c r="E11" s="9"/>
    </row>
    <row r="12" customFormat="false" ht="69.75" hidden="false" customHeight="true" outlineLevel="0" collapsed="false">
      <c r="A12" s="13" t="s">
        <v>91</v>
      </c>
      <c r="B12" s="13"/>
      <c r="C12" s="13" t="s">
        <v>92</v>
      </c>
      <c r="D12" s="13"/>
      <c r="E12" s="13"/>
    </row>
    <row r="13" customFormat="false" ht="69.75" hidden="false" customHeight="true" outlineLevel="0" collapsed="false">
      <c r="A13" s="13" t="s">
        <v>91</v>
      </c>
      <c r="B13" s="13"/>
      <c r="C13" s="13" t="s">
        <v>92</v>
      </c>
      <c r="D13" s="13"/>
      <c r="E13" s="13"/>
    </row>
    <row r="14" customFormat="false" ht="69.75" hidden="false" customHeight="true" outlineLevel="0" collapsed="false">
      <c r="A14" s="13" t="s">
        <v>91</v>
      </c>
      <c r="B14" s="13"/>
      <c r="C14" s="13" t="s">
        <v>92</v>
      </c>
      <c r="D14" s="13"/>
      <c r="E14" s="13"/>
    </row>
    <row r="16" customFormat="false" ht="21.75" hidden="false" customHeight="true" outlineLevel="0" collapsed="false">
      <c r="A16" s="9" t="s">
        <v>93</v>
      </c>
      <c r="B16" s="9"/>
      <c r="C16" s="9"/>
      <c r="D16" s="9"/>
      <c r="E16" s="9"/>
    </row>
    <row r="17" customFormat="false" ht="28.35" hidden="false" customHeight="true" outlineLevel="0" collapsed="false">
      <c r="A17" s="14" t="s">
        <v>94</v>
      </c>
      <c r="B17" s="16" t="s">
        <v>95</v>
      </c>
      <c r="C17" s="16"/>
    </row>
    <row r="18" customFormat="false" ht="199.5" hidden="false" customHeight="true" outlineLevel="0" collapsed="false">
      <c r="A18" s="14" t="s">
        <v>96</v>
      </c>
      <c r="B18" s="13" t="s">
        <v>97</v>
      </c>
      <c r="C18" s="13"/>
      <c r="D18" s="13"/>
      <c r="E18" s="13"/>
    </row>
    <row r="20" customFormat="false" ht="82.05" hidden="false" customHeight="false" outlineLevel="0" collapsed="false">
      <c r="A20" s="14" t="s">
        <v>98</v>
      </c>
      <c r="B20" s="17" t="s">
        <v>99</v>
      </c>
    </row>
    <row r="21" customFormat="false" ht="41.75" hidden="false" customHeight="false" outlineLevel="0" collapsed="false">
      <c r="A21" s="14" t="s">
        <v>100</v>
      </c>
      <c r="B21" s="3" t="s">
        <v>101</v>
      </c>
    </row>
    <row r="22" customFormat="false" ht="82.05" hidden="false" customHeight="false" outlineLevel="0" collapsed="false">
      <c r="A22" s="14" t="s">
        <v>102</v>
      </c>
      <c r="B22" s="3" t="s">
        <v>103</v>
      </c>
    </row>
  </sheetData>
  <mergeCells count="15">
    <mergeCell ref="A1:E1"/>
    <mergeCell ref="B2:E2"/>
    <mergeCell ref="A4:E4"/>
    <mergeCell ref="A10:E10"/>
    <mergeCell ref="A11:B11"/>
    <mergeCell ref="C11:E11"/>
    <mergeCell ref="A12:B12"/>
    <mergeCell ref="C12:E12"/>
    <mergeCell ref="A13:B13"/>
    <mergeCell ref="C13:E13"/>
    <mergeCell ref="A14:B14"/>
    <mergeCell ref="C14:E14"/>
    <mergeCell ref="A16:E16"/>
    <mergeCell ref="B17:C17"/>
    <mergeCell ref="B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95"/>
  </cols>
  <sheetData>
    <row r="1" customFormat="false" ht="21.75" hidden="false" customHeight="true" outlineLevel="0" collapsed="false">
      <c r="A1" s="9" t="s">
        <v>104</v>
      </c>
      <c r="B1" s="9"/>
    </row>
    <row r="2" customFormat="false" ht="15" hidden="false" customHeight="false" outlineLevel="0" collapsed="false">
      <c r="A2" s="18" t="s">
        <v>105</v>
      </c>
      <c r="B2" s="19" t="s">
        <v>106</v>
      </c>
    </row>
    <row r="3" customFormat="false" ht="15" hidden="false" customHeight="false" outlineLevel="0" collapsed="false">
      <c r="A3" s="18" t="s">
        <v>107</v>
      </c>
      <c r="B3" s="19" t="s">
        <v>108</v>
      </c>
    </row>
    <row r="4" customFormat="false" ht="15" hidden="false" customHeight="false" outlineLevel="0" collapsed="false">
      <c r="A4" s="18" t="s">
        <v>109</v>
      </c>
      <c r="B4" s="19" t="s">
        <v>110</v>
      </c>
    </row>
    <row r="5" customFormat="false" ht="15" hidden="false" customHeight="false" outlineLevel="0" collapsed="false">
      <c r="A5" s="18" t="s">
        <v>111</v>
      </c>
      <c r="B5" s="19" t="s">
        <v>112</v>
      </c>
    </row>
    <row r="6" customFormat="false" ht="15" hidden="false" customHeight="false" outlineLevel="0" collapsed="false">
      <c r="A6" s="18" t="s">
        <v>113</v>
      </c>
      <c r="B6" s="19" t="s">
        <v>114</v>
      </c>
    </row>
    <row r="8" customFormat="false" ht="21.75" hidden="false" customHeight="true" outlineLevel="0" collapsed="false">
      <c r="A8" s="9" t="s">
        <v>115</v>
      </c>
      <c r="B8" s="9"/>
    </row>
    <row r="9" customFormat="false" ht="15" hidden="false" customHeight="false" outlineLevel="0" collapsed="false">
      <c r="A9" s="18" t="s">
        <v>105</v>
      </c>
      <c r="B9" s="19" t="s">
        <v>116</v>
      </c>
    </row>
    <row r="10" customFormat="false" ht="15" hidden="false" customHeight="false" outlineLevel="0" collapsed="false">
      <c r="A10" s="18" t="s">
        <v>107</v>
      </c>
      <c r="B10" s="19" t="s">
        <v>117</v>
      </c>
    </row>
    <row r="11" customFormat="false" ht="15" hidden="false" customHeight="false" outlineLevel="0" collapsed="false">
      <c r="A11" s="18" t="s">
        <v>109</v>
      </c>
      <c r="B11" s="19" t="s">
        <v>118</v>
      </c>
    </row>
    <row r="12" customFormat="false" ht="15" hidden="false" customHeight="false" outlineLevel="0" collapsed="false">
      <c r="A12" s="18" t="s">
        <v>111</v>
      </c>
      <c r="B12" s="19" t="s">
        <v>119</v>
      </c>
    </row>
    <row r="13" customFormat="false" ht="15" hidden="false" customHeight="false" outlineLevel="0" collapsed="false">
      <c r="A13" s="18" t="s">
        <v>113</v>
      </c>
      <c r="B13" s="19" t="s">
        <v>120</v>
      </c>
    </row>
    <row r="15" customFormat="false" ht="21.75" hidden="false" customHeight="true" outlineLevel="0" collapsed="false">
      <c r="A15" s="9" t="s">
        <v>121</v>
      </c>
      <c r="B15" s="9"/>
    </row>
    <row r="16" customFormat="false" ht="15" hidden="false" customHeight="false" outlineLevel="0" collapsed="false">
      <c r="A16" s="18" t="s">
        <v>122</v>
      </c>
      <c r="B16" s="19" t="s">
        <v>123</v>
      </c>
    </row>
    <row r="17" customFormat="false" ht="15" hidden="false" customHeight="false" outlineLevel="0" collapsed="false">
      <c r="A17" s="18" t="s">
        <v>124</v>
      </c>
      <c r="B17" s="19" t="s">
        <v>125</v>
      </c>
    </row>
    <row r="18" customFormat="false" ht="15" hidden="false" customHeight="false" outlineLevel="0" collapsed="false">
      <c r="A18" s="18" t="s">
        <v>126</v>
      </c>
      <c r="B18" s="19" t="s">
        <v>127</v>
      </c>
    </row>
    <row r="19" customFormat="false" ht="15" hidden="false" customHeight="false" outlineLevel="0" collapsed="false">
      <c r="A19" s="18" t="s">
        <v>128</v>
      </c>
      <c r="B19" s="19" t="s">
        <v>129</v>
      </c>
    </row>
  </sheetData>
  <mergeCells count="3">
    <mergeCell ref="A1:B1"/>
    <mergeCell ref="A8:B8"/>
    <mergeCell ref="A15:B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50"/>
    <col collapsed="false" customWidth="true" hidden="false" outlineLevel="0" max="3" min="3" style="1" width="28"/>
    <col collapsed="false" customWidth="true" hidden="false" outlineLevel="0" max="4" min="4" style="1" width="80"/>
  </cols>
  <sheetData>
    <row r="1" customFormat="false" ht="21.75" hidden="false" customHeight="true" outlineLevel="0" collapsed="false">
      <c r="A1" s="9" t="s">
        <v>22</v>
      </c>
      <c r="B1" s="9" t="s">
        <v>23</v>
      </c>
      <c r="C1" s="9" t="s">
        <v>24</v>
      </c>
      <c r="D1" s="9" t="s">
        <v>130</v>
      </c>
    </row>
    <row r="2" customFormat="false" ht="36" hidden="false" customHeight="true" outlineLevel="0" collapsed="false">
      <c r="A2" s="18" t="s">
        <v>131</v>
      </c>
      <c r="B2" s="19" t="s">
        <v>132</v>
      </c>
      <c r="C2" s="19" t="s">
        <v>36</v>
      </c>
      <c r="D2" s="19" t="s">
        <v>133</v>
      </c>
    </row>
    <row r="3" customFormat="false" ht="36" hidden="false" customHeight="true" outlineLevel="0" collapsed="false">
      <c r="A3" s="18" t="s">
        <v>34</v>
      </c>
      <c r="B3" s="19" t="s">
        <v>35</v>
      </c>
      <c r="C3" s="19" t="s">
        <v>36</v>
      </c>
      <c r="D3" s="19" t="s">
        <v>134</v>
      </c>
    </row>
    <row r="4" customFormat="false" ht="36" hidden="false" customHeight="true" outlineLevel="0" collapsed="false">
      <c r="A4" s="18" t="s">
        <v>48</v>
      </c>
      <c r="B4" s="19" t="s">
        <v>135</v>
      </c>
      <c r="C4" s="19" t="s">
        <v>50</v>
      </c>
      <c r="D4" s="19" t="s">
        <v>136</v>
      </c>
    </row>
    <row r="5" customFormat="false" ht="36" hidden="false" customHeight="true" outlineLevel="0" collapsed="false">
      <c r="A5" s="18" t="s">
        <v>137</v>
      </c>
      <c r="B5" s="19" t="s">
        <v>138</v>
      </c>
      <c r="C5" s="19" t="s">
        <v>139</v>
      </c>
      <c r="D5" s="19" t="s">
        <v>140</v>
      </c>
    </row>
    <row r="6" customFormat="false" ht="36" hidden="false" customHeight="true" outlineLevel="0" collapsed="false">
      <c r="A6" s="18" t="s">
        <v>68</v>
      </c>
      <c r="B6" s="19" t="s">
        <v>69</v>
      </c>
      <c r="C6" s="19" t="s">
        <v>70</v>
      </c>
      <c r="D6" s="19" t="s">
        <v>141</v>
      </c>
    </row>
    <row r="7" customFormat="false" ht="36" hidden="false" customHeight="true" outlineLevel="0" collapsed="false">
      <c r="A7" s="18" t="s">
        <v>58</v>
      </c>
      <c r="B7" s="19" t="s">
        <v>59</v>
      </c>
      <c r="C7" s="19" t="s">
        <v>60</v>
      </c>
      <c r="D7" s="19" t="s">
        <v>142</v>
      </c>
    </row>
    <row r="8" customFormat="false" ht="36" hidden="false" customHeight="true" outlineLevel="0" collapsed="false">
      <c r="A8" s="18" t="s">
        <v>143</v>
      </c>
      <c r="B8" s="19" t="s">
        <v>144</v>
      </c>
      <c r="C8" s="19" t="s">
        <v>145</v>
      </c>
      <c r="D8" s="19" t="s">
        <v>146</v>
      </c>
    </row>
    <row r="9" customFormat="false" ht="36" hidden="false" customHeight="true" outlineLevel="0" collapsed="false">
      <c r="A9" s="18" t="s">
        <v>42</v>
      </c>
      <c r="B9" s="19" t="s">
        <v>43</v>
      </c>
      <c r="C9" s="19" t="s">
        <v>44</v>
      </c>
      <c r="D9" s="19" t="s">
        <v>147</v>
      </c>
    </row>
    <row r="10" customFormat="false" ht="36" hidden="false" customHeight="true" outlineLevel="0" collapsed="false">
      <c r="A10" s="18" t="s">
        <v>148</v>
      </c>
      <c r="B10" s="19" t="s">
        <v>149</v>
      </c>
      <c r="C10" s="19" t="s">
        <v>150</v>
      </c>
      <c r="D10" s="19" t="s">
        <v>151</v>
      </c>
    </row>
    <row r="11" customFormat="false" ht="36" hidden="false" customHeight="true" outlineLevel="0" collapsed="false">
      <c r="A11" s="18" t="s">
        <v>152</v>
      </c>
      <c r="B11" s="19" t="s">
        <v>153</v>
      </c>
      <c r="C11" s="19" t="s">
        <v>44</v>
      </c>
      <c r="D11" s="19" t="s">
        <v>154</v>
      </c>
    </row>
    <row r="12" customFormat="false" ht="36" hidden="false" customHeight="true" outlineLevel="0" collapsed="false">
      <c r="A12" s="18" t="s">
        <v>155</v>
      </c>
      <c r="B12" s="19" t="s">
        <v>156</v>
      </c>
      <c r="C12" s="19" t="s">
        <v>145</v>
      </c>
      <c r="D12" s="19" t="s">
        <v>157</v>
      </c>
    </row>
    <row r="13" customFormat="false" ht="36" hidden="false" customHeight="true" outlineLevel="0" collapsed="false">
      <c r="A13" s="18" t="s">
        <v>158</v>
      </c>
      <c r="B13" s="19" t="s">
        <v>159</v>
      </c>
      <c r="C13" s="19" t="s">
        <v>160</v>
      </c>
      <c r="D13" s="19" t="s">
        <v>161</v>
      </c>
    </row>
    <row r="14" customFormat="false" ht="36" hidden="false" customHeight="true" outlineLevel="0" collapsed="false">
      <c r="A14" s="18" t="s">
        <v>162</v>
      </c>
      <c r="B14" s="19" t="s">
        <v>163</v>
      </c>
      <c r="C14" s="19" t="s">
        <v>60</v>
      </c>
      <c r="D14" s="19" t="s">
        <v>164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110"/>
  </cols>
  <sheetData>
    <row r="1" customFormat="false" ht="21.75" hidden="false" customHeight="true" outlineLevel="0" collapsed="false">
      <c r="A1" s="9" t="s">
        <v>30</v>
      </c>
      <c r="B1" s="9" t="s">
        <v>165</v>
      </c>
    </row>
    <row r="2" customFormat="false" ht="37.5" hidden="false" customHeight="true" outlineLevel="0" collapsed="false">
      <c r="A2" s="18" t="s">
        <v>166</v>
      </c>
      <c r="B2" s="19" t="s">
        <v>167</v>
      </c>
    </row>
    <row r="3" customFormat="false" ht="37.5" hidden="false" customHeight="true" outlineLevel="0" collapsed="false">
      <c r="A3" s="18" t="s">
        <v>168</v>
      </c>
      <c r="B3" s="19" t="s">
        <v>169</v>
      </c>
    </row>
    <row r="4" customFormat="false" ht="37.5" hidden="false" customHeight="true" outlineLevel="0" collapsed="false">
      <c r="A4" s="18" t="s">
        <v>38</v>
      </c>
      <c r="B4" s="19" t="s">
        <v>170</v>
      </c>
    </row>
    <row r="5" customFormat="false" ht="37.5" hidden="false" customHeight="true" outlineLevel="0" collapsed="false">
      <c r="A5" s="18" t="s">
        <v>171</v>
      </c>
      <c r="B5" s="19" t="s">
        <v>172</v>
      </c>
    </row>
    <row r="6" customFormat="false" ht="37.5" hidden="false" customHeight="true" outlineLevel="0" collapsed="false">
      <c r="A6" s="18" t="s">
        <v>173</v>
      </c>
      <c r="B6" s="19" t="s">
        <v>174</v>
      </c>
    </row>
    <row r="7" customFormat="false" ht="37.5" hidden="false" customHeight="true" outlineLevel="0" collapsed="false">
      <c r="A7" s="18" t="s">
        <v>175</v>
      </c>
      <c r="B7" s="19" t="s">
        <v>176</v>
      </c>
    </row>
    <row r="8" customFormat="false" ht="37.5" hidden="false" customHeight="true" outlineLevel="0" collapsed="false">
      <c r="A8" s="18" t="s">
        <v>177</v>
      </c>
      <c r="B8" s="19" t="s">
        <v>178</v>
      </c>
    </row>
    <row r="9" customFormat="false" ht="37.5" hidden="false" customHeight="true" outlineLevel="0" collapsed="false">
      <c r="A9" s="18" t="s">
        <v>179</v>
      </c>
      <c r="B9" s="19" t="s">
        <v>180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10"/>
  </cols>
  <sheetData>
    <row r="1" customFormat="false" ht="15" hidden="false" customHeight="false" outlineLevel="0" collapsed="false">
      <c r="A1" s="20" t="s">
        <v>181</v>
      </c>
      <c r="B1" s="20" t="s">
        <v>182</v>
      </c>
    </row>
    <row r="2" customFormat="false" ht="60" hidden="false" customHeight="true" outlineLevel="0" collapsed="false">
      <c r="A2" s="21" t="s">
        <v>183</v>
      </c>
      <c r="B2" s="21" t="s">
        <v>184</v>
      </c>
    </row>
    <row r="3" customFormat="false" ht="60" hidden="false" customHeight="true" outlineLevel="0" collapsed="false">
      <c r="A3" s="21" t="s">
        <v>185</v>
      </c>
      <c r="B3" s="21" t="s">
        <v>186</v>
      </c>
    </row>
    <row r="4" customFormat="false" ht="60" hidden="false" customHeight="true" outlineLevel="0" collapsed="false">
      <c r="A4" s="21" t="s">
        <v>187</v>
      </c>
      <c r="B4" s="21" t="s">
        <v>188</v>
      </c>
    </row>
    <row r="5" customFormat="false" ht="60" hidden="false" customHeight="true" outlineLevel="0" collapsed="false">
      <c r="A5" s="21" t="s">
        <v>189</v>
      </c>
      <c r="B5" s="21" t="s">
        <v>190</v>
      </c>
    </row>
    <row r="6" customFormat="false" ht="60" hidden="false" customHeight="true" outlineLevel="0" collapsed="false">
      <c r="A6" s="21" t="s">
        <v>191</v>
      </c>
      <c r="B6" s="21" t="s">
        <v>192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2026-05-08T15:52:28Z</dcterms:created>
  <dc:creator>openpyxl</dc:creator>
  <dc:description/>
  <dc:language>en-US</dc:language>
  <cp:lastModifiedBy/>
  <dcterms:modified xsi:type="dcterms:W3CDTF">2026-07-24T00:35:08Z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