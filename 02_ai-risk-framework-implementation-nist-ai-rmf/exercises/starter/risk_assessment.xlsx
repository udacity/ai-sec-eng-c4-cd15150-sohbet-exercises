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Brief" sheetId="1" state="visible" r:id="rId3"/>
    <sheet name="Risk Register" sheetId="2" state="visible" r:id="rId4"/>
    <sheet name="Scoring Rubric" sheetId="3" state="visible" r:id="rId5"/>
    <sheet name="Executive Summary" sheetId="4" state="visible" r:id="rId6"/>
    <sheet name="NIST AI RMF 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Solution</author>
  </authors>
  <commentList>
    <comment ref="F12" authorId="0">
      <text>
        <r>
          <rPr>
            <sz val="10"/>
            <rFont val="Arial"/>
            <family val="2"/>
          </rPr>
          <t xml:space="preserve">Impact=2 (Low): Losing a data feed temporarily degrades detection capability. Impact is manageable given data redundancy and alternative sources.</t>
        </r>
      </text>
    </comment>
    <comment ref="F15" authorId="0">
      <text>
        <r>
          <rPr>
            <sz val="10"/>
            <rFont val="Arial"/>
            <family val="2"/>
          </rPr>
          <t xml:space="preserve">Impact=2 (Low): Non-compliance creates minor regulatory exposure, mostly administrative in nature.</t>
        </r>
      </text>
    </comment>
    <comment ref="G12" authorId="0">
      <text>
        <r>
          <rPr>
            <sz val="10"/>
            <rFont val="Arial"/>
            <family val="2"/>
          </rPr>
          <t xml:space="preserve">Likelihood=2 (Unlikely): Established vendors rarely fail completely. With proper vendor SLAs, failure is unlikely.</t>
        </r>
      </text>
    </comment>
    <comment ref="G15" authorId="0">
      <text>
        <r>
          <rPr>
            <sz val="10"/>
            <rFont val="Arial"/>
            <family val="2"/>
          </rPr>
          <t xml:space="preserve">Likelihood=2 (Unlikely): Data retention violations are not a priority for most regulators.</t>
        </r>
      </text>
    </comment>
  </commentList>
</comments>
</file>

<file path=xl/sharedStrings.xml><?xml version="1.0" encoding="utf-8"?>
<sst xmlns="http://schemas.openxmlformats.org/spreadsheetml/2006/main" count="290" uniqueCount="166">
  <si>
    <t xml:space="preserve">FinGuard AI - FraudShield Risk Assessment</t>
  </si>
  <si>
    <t xml:space="preserve">FinGuard AI - AI Risk Assessment Exercise</t>
  </si>
  <si>
    <t xml:space="preserve">COMPANY: FinGuard AI (400 employees)</t>
  </si>
  <si>
    <t xml:space="preserve">SYSTEM: FraudShield - GenAI-powered fraud detection for real-time transaction monitoring</t>
  </si>
  <si>
    <t xml:space="preserve">SCOPE: Retail banking customers across the EU</t>
  </si>
  <si>
    <t xml:space="preserve">FUNCTION: Monitors transaction patterns, flags suspicious activity, auto-blocks high-risk transactions</t>
  </si>
  <si>
    <t xml:space="preserve">RECENT INCIDENT:</t>
  </si>
  <si>
    <t xml:space="preserve">FraudShield has been disproportionately flagging transactions from customers in lower-income zip codes, causing legitimate transactions to be blocked. Additionally, fraudsters have begun using adversarial techniques to bypass the detection model.</t>
  </si>
  <si>
    <t xml:space="preserve">REGULATORY CONTEXT:</t>
  </si>
  <si>
    <t xml:space="preserve">- GDPR: Applies to all EU customer data processing</t>
  </si>
  <si>
    <t xml:space="preserve">- EU AI Act: fraud-detection is exempt from Annex III 5(b) High-Risk classification; FraudShield is governed as High-Risk internally because its outputs can feed credit-limit and account-eligibility decisions</t>
  </si>
  <si>
    <t xml:space="preserve">- PSD2 (Payment Services Directive): Requires fraud prevention; blocking must be justified</t>
  </si>
  <si>
    <t xml:space="preserve">- Right to Explanation: Customers must understand why transactions are flagged/blocked</t>
  </si>
  <si>
    <t xml:space="preserve">YOUR TASK:</t>
  </si>
  <si>
    <t xml:space="preserve">Identify all risks across the four risk categories (technical, ethical, legal, operational), map each to a NIST AI RMF function (Govern / Map / Measure / Manage), populate the risk register with mitigation strategies, score risks, and generate an executive summary.</t>
  </si>
  <si>
    <t xml:space="preserve">COLOR LEGEND:</t>
  </si>
  <si>
    <t xml:space="preserve">Blue Header</t>
  </si>
  <si>
    <t xml:space="preserve">Section headers</t>
  </si>
  <si>
    <t xml:space="preserve">Green</t>
  </si>
  <si>
    <t xml:space="preserve">Scenario information</t>
  </si>
  <si>
    <t xml:space="preserve">Light Blue</t>
  </si>
  <si>
    <t xml:space="preserve">Pre-filled context</t>
  </si>
  <si>
    <t xml:space="preserve">Light Pink</t>
  </si>
  <si>
    <t xml:space="preserve">Student work areas (with hints)</t>
  </si>
  <si>
    <t xml:space="preserve">Yellow</t>
  </si>
  <si>
    <t xml:space="preserve">Reference/rubric</t>
  </si>
  <si>
    <t xml:space="preserve">Risk ID</t>
  </si>
  <si>
    <t xml:space="preserve">NIST AI RMF Function</t>
  </si>
  <si>
    <t xml:space="preserve">Risk Category</t>
  </si>
  <si>
    <t xml:space="preserve">Risk Description</t>
  </si>
  <si>
    <t xml:space="preserve">Risk Owner</t>
  </si>
  <si>
    <t xml:space="preserve">Impact (1-5)</t>
  </si>
  <si>
    <t xml:space="preserve">Likelihood (1-5)</t>
  </si>
  <si>
    <t xml:space="preserve">Risk Score</t>
  </si>
  <si>
    <t xml:space="preserve">Risk Level</t>
  </si>
  <si>
    <t xml:space="preserve">Mitigation Strategy</t>
  </si>
  <si>
    <t xml:space="preserve">Priority</t>
  </si>
  <si>
    <t xml:space="preserve">Status</t>
  </si>
  <si>
    <t xml:space="preserve">Target Date</t>
  </si>
  <si>
    <t xml:space="preserve">R001</t>
  </si>
  <si>
    <t xml:space="preserve">Measure</t>
  </si>
  <si>
    <t xml:space="preserve">Technical</t>
  </si>
  <si>
    <t xml:space="preserve">Model drift: FraudShield performance degrades as transaction patterns evolve and new payment methods emerge</t>
  </si>
  <si>
    <t xml:space="preserve">Data Science Lead</t>
  </si>
  <si>
    <t xml:space="preserve">Implement monthly model performance monitoring with automated drift detection; retrain quarterly on updated transaction data</t>
  </si>
  <si>
    <t xml:space="preserve">Critical</t>
  </si>
  <si>
    <t xml:space="preserve">Open</t>
  </si>
  <si>
    <t xml:space="preserve">TBD</t>
  </si>
  <si>
    <t xml:space="preserve">R002</t>
  </si>
  <si>
    <t xml:space="preserve">Govern</t>
  </si>
  <si>
    <t xml:space="preserve">Ethical</t>
  </si>
  <si>
    <t xml:space="preserve">Socioeconomic bias: FraudShield disproportionately flags transactions from customers in lower-income zip codes, blocking legitimate purchases</t>
  </si>
  <si>
    <t xml:space="preserve">Ethics Officer</t>
  </si>
  <si>
    <t xml:space="preserve">Conduct fairness audit across income/demographic segments; implement bias-aware thresholds; remove zip code as direct feature; monitor disparity metrics monthly</t>
  </si>
  <si>
    <t xml:space="preserve">R003</t>
  </si>
  <si>
    <t xml:space="preserve">Manage</t>
  </si>
  <si>
    <t xml:space="preserve">Adversarial evasion: Fraudsters develop techniques to bypass FraudShield detection patterns, reducing system effectiveness</t>
  </si>
  <si>
    <t xml:space="preserve">ML Security Engineer</t>
  </si>
  <si>
    <t xml:space="preserve">Implement adversarial robustness testing quarterly; deploy adversarial detection module; continuously update model with adversarial examples</t>
  </si>
  <si>
    <t xml:space="preserve">R004</t>
  </si>
  <si>
    <t xml:space="preserve">Data pipeline failures: Missing or corrupted transaction feeds lead to incomplete fraud analysis</t>
  </si>
  <si>
    <t xml:space="preserve">Data Engineering Lead</t>
  </si>
  <si>
    <t xml:space="preserve">[Your response here — score 1-5 reflecting how severe this risk's worst-case outcome would be for FinGuard (financial loss, customer harm, regulatory penalty); see the Scoring Rubric sheet for what each level means.]</t>
  </si>
  <si>
    <t xml:space="preserve">[Your response here — score 1-5 estimating how likely this risk is to materialize within ~12 months given the scenario context; see the Scoring Rubric sheet for level definitions.]</t>
  </si>
  <si>
    <t xml:space="preserve">[Your response here — name 2-3 specific controls that would reduce this risk's likelihood or impact (think monitoring, validation, governance, human-in-the-loop, redundancy); match them to the risk type.]</t>
  </si>
  <si>
    <t xml:space="preserve">[Your response here — assign Critical / High / Medium / Low based on the Risk Score band and business urgency; cross-check against the Scoring Rubric thresholds.]</t>
  </si>
  <si>
    <t xml:space="preserve">[Your response here — pick the current state of this mitigation: Open, In Progress, or Closed (most starter risks will be Open).]</t>
  </si>
  <si>
    <t xml:space="preserve">[Your response here — propose a realistic target completion date (e.g., "Q2 2026") or "TBD" if owner needs to scope first; align urgency with the Priority you assigned.]</t>
  </si>
  <si>
    <t xml:space="preserve">R005</t>
  </si>
  <si>
    <t xml:space="preserve">False positive flood: FraudShield blocks legitimate transactions at high rates, degrading customer experience</t>
  </si>
  <si>
    <t xml:space="preserve">Product Manager</t>
  </si>
  <si>
    <t xml:space="preserve">R006</t>
  </si>
  <si>
    <t xml:space="preserve">Lack of explainability: Customers whose transactions are blocked receive no explanation of why</t>
  </si>
  <si>
    <t xml:space="preserve">R007</t>
  </si>
  <si>
    <t xml:space="preserve">Legal</t>
  </si>
  <si>
    <t xml:space="preserve">GDPR automated decision violation with GenAI hallucination risk: Automated blocking of transactions without human review violates Article 22; LLM-generated fraud explanations may be fabricated, misleading analysts</t>
  </si>
  <si>
    <t xml:space="preserve">Legal Counsel</t>
  </si>
  <si>
    <t xml:space="preserve">R008</t>
  </si>
  <si>
    <t xml:space="preserve">Map</t>
  </si>
  <si>
    <t xml:space="preserve">Right to explanation: Customers not informed of factors in blocking decisions per GDPR Arts 13-14</t>
  </si>
  <si>
    <t xml:space="preserve">Compliance Manager</t>
  </si>
  <si>
    <t xml:space="preserve">R009</t>
  </si>
  <si>
    <t xml:space="preserve">Operational</t>
  </si>
  <si>
    <t xml:space="preserve">System downtime: FraudShield unavailability during peak hours leaves transactions unmonitored</t>
  </si>
  <si>
    <t xml:space="preserve">Infrastructure Manager</t>
  </si>
  <si>
    <t xml:space="preserve">R010</t>
  </si>
  <si>
    <t xml:space="preserve">Staff training gaps: Analysts lack understanding of model limitations and bias risks</t>
  </si>
  <si>
    <t xml:space="preserve">Training Manager</t>
  </si>
  <si>
    <t xml:space="preserve">R011</t>
  </si>
  <si>
    <t xml:space="preserve">Third-party vendor dependency: Reliance on external transaction data feeds with no backup</t>
  </si>
  <si>
    <t xml:space="preserve">Vendor Manager</t>
  </si>
  <si>
    <t xml:space="preserve">R012</t>
  </si>
  <si>
    <t xml:space="preserve">Concept drift with GenAI foundation model updates: New fraud patterns emerge that weren't in training data, reducing detection accuracy; foundation model updates may change FraudShield behavior unpredictably</t>
  </si>
  <si>
    <t xml:space="preserve">R013</t>
  </si>
  <si>
    <t xml:space="preserve">Unequal error rates: False positive rates differ significantly across demographic segments beyond income</t>
  </si>
  <si>
    <t xml:space="preserve">Analytics Lead</t>
  </si>
  <si>
    <t xml:space="preserve">R014</t>
  </si>
  <si>
    <t xml:space="preserve">Data retention non-compliance: Transaction monitoring data stored beyond regulatory limits</t>
  </si>
  <si>
    <t xml:space="preserve">Data Protection Officer</t>
  </si>
  <si>
    <t xml:space="preserve">R015</t>
  </si>
  <si>
    <t xml:space="preserve">Model interpretability gap: Cannot audit how specific fraud decisions are made, hindering regulatory review</t>
  </si>
  <si>
    <t xml:space="preserve">R016</t>
  </si>
  <si>
    <t xml:space="preserve">GENAI-SPECIFIC: Hallucinated fraud explanations - System generates plausible but fabricated reasoning when flagging transactions, misleading analysts</t>
  </si>
  <si>
    <t xml:space="preserve">R017</t>
  </si>
  <si>
    <t xml:space="preserve">GENAI-SPECIFIC: Prompt injection vulnerabilities - Adversarial prompts manipulate fraud detection outputs, causing false positives or false negatives</t>
  </si>
  <si>
    <t xml:space="preserve">R018</t>
  </si>
  <si>
    <t xml:space="preserve">GENAI-SPECIFIC: Training data poisoning - Contaminated training data causes systematic misclassifications in fraud detection model</t>
  </si>
  <si>
    <t xml:space="preserve">IMPACT SCALE (1-5)</t>
  </si>
  <si>
    <t xml:space="preserve">Negligible - Minimal organizational or user impact</t>
  </si>
  <si>
    <t xml:space="preserve">Minor - Limited impact; issue affects small subset of users</t>
  </si>
  <si>
    <t xml:space="preserve">Moderate - Noticeable impact; affects significant subset; may require remediation</t>
  </si>
  <si>
    <t xml:space="preserve">Major - Severe impact; affects large user population; regulatory concern</t>
  </si>
  <si>
    <t xml:space="preserve">Catastrophic - System failure; massive user harm; regulatory violation; brand damage</t>
  </si>
  <si>
    <t xml:space="preserve">LIKELIHOOD SCALE (1-5)</t>
  </si>
  <si>
    <t xml:space="preserve">Rare - Extremely unlikely to occur (&lt;5% chance)</t>
  </si>
  <si>
    <t xml:space="preserve">Unlikely - Low probability of occurrence (5-25%)</t>
  </si>
  <si>
    <t xml:space="preserve">Possible - Moderate probability; could occur (25-50%)</t>
  </si>
  <si>
    <t xml:space="preserve">Likely - High probability; probable within 12 months (50-75%)</t>
  </si>
  <si>
    <t xml:space="preserve">Almost Certain - Very likely; expected to occur (&gt;75%)</t>
  </si>
  <si>
    <t xml:space="preserve">RISK LEVEL MATRIX</t>
  </si>
  <si>
    <t xml:space="preserve">CRITICAL</t>
  </si>
  <si>
    <t xml:space="preserve">≥15 - Immediate executive attention; escalate</t>
  </si>
  <si>
    <t xml:space="preserve">HIGH</t>
  </si>
  <si>
    <t xml:space="preserve">10-14 - Prioritize mitigation within 30 days</t>
  </si>
  <si>
    <t xml:space="preserve">MEDIUM</t>
  </si>
  <si>
    <t xml:space="preserve">5-9 - Plan mitigation; schedule within 90 days</t>
  </si>
  <si>
    <t xml:space="preserve">LOW</t>
  </si>
  <si>
    <t xml:space="preserve">1-4 - Monitor; mitigate as resources allow</t>
  </si>
  <si>
    <t xml:space="preserve">EXECUTIVE SUMMARY - FINGUARD AI RISK ASSESSMENT</t>
  </si>
  <si>
    <t xml:space="preserve">RISK OVERVIEW</t>
  </si>
  <si>
    <t xml:space="preserve">Total Risks Identified:</t>
  </si>
  <si>
    <t xml:space="preserve">Critical Risks:</t>
  </si>
  <si>
    <t xml:space="preserve">High Risks:</t>
  </si>
  <si>
    <t xml:space="preserve">Medium Risks:</t>
  </si>
  <si>
    <t xml:space="preserve">Low Risks:</t>
  </si>
  <si>
    <t xml:space="preserve">RISKS BY CATEGORY</t>
  </si>
  <si>
    <t xml:space="preserve">Technical Risks:</t>
  </si>
  <si>
    <t xml:space="preserve">Ethical Risks:</t>
  </si>
  <si>
    <t xml:space="preserve">Legal Risks:</t>
  </si>
  <si>
    <t xml:space="preserve">Operational Risks:</t>
  </si>
  <si>
    <t xml:space="preserve">RISKS BY NIST FUNCTION</t>
  </si>
  <si>
    <t xml:space="preserve">Govern Risks:</t>
  </si>
  <si>
    <t xml:space="preserve">Map Risks:</t>
  </si>
  <si>
    <t xml:space="preserve">Measure Risks:</t>
  </si>
  <si>
    <t xml:space="preserve">Manage Risks:</t>
  </si>
  <si>
    <t xml:space="preserve">TOP 5 PRIORITY RISKS</t>
  </si>
  <si>
    <t xml:space="preserve">1. [Your response here — Risk #1: list Risk ID, short name, Risk Level, and Impact x Likelihood for the highest-scored risk in your register.]</t>
  </si>
  <si>
    <t xml:space="preserve">2. [Your response here — Risk #2: same format as above, next-highest scored risk; break ties by business impact.]</t>
  </si>
  <si>
    <t xml:space="preserve">3. [Your response here — Risk #3: same format; consider both Critical risks and any High risks with strategic significance.]</t>
  </si>
  <si>
    <t xml:space="preserve">4. [Your response here — Risk #4: same format; remember GenAI-specific and legal risks may rank here.]</t>
  </si>
  <si>
    <t xml:space="preserve">5. [Your response here — Risk #5: same format; round out the top 5 with the next priority risk an executive should track.]</t>
  </si>
  <si>
    <t xml:space="preserve">KEY FINDINGS</t>
  </si>
  <si>
    <t xml:space="preserve">[Your response here — one sentence summarizing FinGuard's overall risk posture: which risk category (technical, ethical, legal, operational) dominates and why it matters to leadership?]</t>
  </si>
  <si>
    <t xml:space="preserve">[Your response here — call out patterns or clusters across NIST AI RMF functions or risk categories (e.g., concentration in Measure, multiple bias-related risks); reference the counts in B5:B20.]</t>
  </si>
  <si>
    <t xml:space="preserve">[Your response here — one sentence on legal/regulatory exposure for executives, naming the specific regimes at play (e.g., GDPR Article 22, EU AI Act high-risk obligations).]</t>
  </si>
  <si>
    <t xml:space="preserve">Function</t>
  </si>
  <si>
    <t xml:space="preserve">Description</t>
  </si>
  <si>
    <t xml:space="preserve">Key Activities</t>
  </si>
  <si>
    <t xml:space="preserve">Organizational processes and structures for oversight and accountability</t>
  </si>
  <si>
    <t xml:space="preserve">Define AI governance policies, accountability frameworks, ethics guidelines, stakeholder engagement</t>
  </si>
  <si>
    <t xml:space="preserve">Systematic detection and analysis of AI risks throughout system lifecycle</t>
  </si>
  <si>
    <t xml:space="preserve">Risk identification, assessment, documentation, stakeholder communication, monitoring plans</t>
  </si>
  <si>
    <t xml:space="preserve">Design and validation of measurements to address identified risks</t>
  </si>
  <si>
    <t xml:space="preserve">Performance monitoring, fairness metrics, bias testing, model validation, continuous evaluation</t>
  </si>
  <si>
    <t xml:space="preserve">Implementation of plans and processes to mitigate risks</t>
  </si>
  <si>
    <t xml:space="preserve">Deploy controls, implement mitigations, incident response, continuous improvement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</si>
</sst>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888888"/>
      <name val="Cambria"/>
      <family val="0"/>
      <charset val="1"/>
    </font>
    <font>
      <sz val="10"/>
      <name val="Arial"/>
      <family val="2"/>
    </font>
    <font>
      <b val="true"/>
      <sz val="12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E2EFDA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0"/>
  </cols>
  <sheetData>
    <row r="1" customFormat="false" ht="24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3" t="s">
        <v>6</v>
      </c>
    </row>
    <row r="11" customFormat="false" ht="27.7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4" t="s">
        <v>8</v>
      </c>
    </row>
    <row r="14" customFormat="false" ht="15" hidden="false" customHeight="true" outlineLevel="0" collapsed="false">
      <c r="A14" s="3" t="s">
        <v>9</v>
      </c>
    </row>
    <row r="15" customFormat="false" ht="27.75" hidden="false" customHeight="true" outlineLevel="0" collapsed="false">
      <c r="A15" s="3" t="s">
        <v>10</v>
      </c>
    </row>
    <row r="16" customFormat="false" ht="15" hidden="false" customHeight="true" outlineLevel="0" collapsed="false">
      <c r="A16" s="3" t="s">
        <v>11</v>
      </c>
    </row>
    <row r="17" customFormat="false" ht="15" hidden="false" customHeight="true" outlineLevel="0" collapsed="false">
      <c r="A17" s="3" t="s">
        <v>12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4" t="s">
        <v>13</v>
      </c>
    </row>
    <row r="20" customFormat="false" ht="27.75" hidden="false" customHeight="true" outlineLevel="0" collapsed="false">
      <c r="A20" s="3" t="s">
        <v>14</v>
      </c>
    </row>
    <row r="23" customFormat="false" ht="15" hidden="false" customHeight="true" outlineLevel="0" collapsed="false">
      <c r="A23" s="5" t="s">
        <v>15</v>
      </c>
    </row>
    <row r="24" customFormat="false" ht="15" hidden="false" customHeight="true" outlineLevel="0" collapsed="false">
      <c r="A24" s="6" t="s">
        <v>16</v>
      </c>
      <c r="B24" s="1" t="s">
        <v>17</v>
      </c>
    </row>
    <row r="25" customFormat="false" ht="15" hidden="false" customHeight="true" outlineLevel="0" collapsed="false">
      <c r="A25" s="7" t="s">
        <v>18</v>
      </c>
      <c r="B25" s="1" t="s">
        <v>19</v>
      </c>
    </row>
    <row r="26" customFormat="false" ht="15" hidden="false" customHeight="true" outlineLevel="0" collapsed="false">
      <c r="A26" s="8" t="s">
        <v>20</v>
      </c>
      <c r="B26" s="1" t="s">
        <v>21</v>
      </c>
    </row>
    <row r="27" customFormat="false" ht="15" hidden="false" customHeight="true" outlineLevel="0" collapsed="false">
      <c r="A27" s="9" t="s">
        <v>22</v>
      </c>
      <c r="B27" s="1" t="s">
        <v>23</v>
      </c>
    </row>
    <row r="28" customFormat="false" ht="15" hidden="false" customHeight="true" outlineLevel="0" collapsed="false">
      <c r="A28" s="10" t="s">
        <v>24</v>
      </c>
      <c r="B28" s="1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4"/>
    <col collapsed="false" customWidth="true" hidden="false" outlineLevel="0" max="4" min="4" style="1" width="45"/>
    <col collapsed="false" customWidth="true" hidden="false" outlineLevel="0" max="5" min="5" style="1" width="18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35"/>
    <col collapsed="false" customWidth="true" hidden="false" outlineLevel="0" max="12" min="11" style="1" width="10"/>
    <col collapsed="false" customWidth="true" hidden="false" outlineLevel="0" max="13" min="13" style="1" width="12"/>
  </cols>
  <sheetData>
    <row r="1" customFormat="false" ht="30" hidden="false" customHeight="true" outlineLevel="0" collapsed="false">
      <c r="A1" s="11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  <c r="H1" s="11" t="s">
        <v>33</v>
      </c>
      <c r="I1" s="11" t="s">
        <v>34</v>
      </c>
      <c r="J1" s="11" t="s">
        <v>35</v>
      </c>
      <c r="K1" s="11" t="s">
        <v>36</v>
      </c>
      <c r="L1" s="11" t="s">
        <v>37</v>
      </c>
      <c r="M1" s="11" t="s">
        <v>38</v>
      </c>
    </row>
    <row r="2" customFormat="false" ht="54.75" hidden="false" customHeight="true" outlineLevel="0" collapsed="false">
      <c r="A2" s="12" t="s">
        <v>39</v>
      </c>
      <c r="B2" s="12" t="s">
        <v>40</v>
      </c>
      <c r="C2" s="12" t="s">
        <v>41</v>
      </c>
      <c r="D2" s="12" t="s">
        <v>42</v>
      </c>
      <c r="E2" s="12" t="s">
        <v>43</v>
      </c>
      <c r="F2" s="12" t="n">
        <v>4</v>
      </c>
      <c r="G2" s="12" t="n">
        <v>4</v>
      </c>
      <c r="H2" s="12" t="n">
        <f aca="false">F2*G2</f>
        <v>16</v>
      </c>
      <c r="I2" s="12" t="str">
        <f aca="false">IF(H2&gt;=15,"Critical",IF(H2&gt;=10,"High",IF(H2&gt;=5,"Medium","Low")))</f>
        <v>Critical</v>
      </c>
      <c r="J2" s="12" t="s">
        <v>44</v>
      </c>
      <c r="K2" s="12" t="s">
        <v>45</v>
      </c>
      <c r="L2" s="12" t="s">
        <v>46</v>
      </c>
      <c r="M2" s="12" t="s">
        <v>47</v>
      </c>
    </row>
    <row r="3" customFormat="false" ht="68.25" hidden="false" customHeight="true" outlineLevel="0" collapsed="false">
      <c r="A3" s="12" t="s">
        <v>48</v>
      </c>
      <c r="B3" s="12" t="s">
        <v>49</v>
      </c>
      <c r="C3" s="12" t="s">
        <v>50</v>
      </c>
      <c r="D3" s="12" t="s">
        <v>51</v>
      </c>
      <c r="E3" s="12" t="s">
        <v>52</v>
      </c>
      <c r="F3" s="12" t="n">
        <v>5</v>
      </c>
      <c r="G3" s="12" t="n">
        <v>4</v>
      </c>
      <c r="H3" s="12" t="n">
        <f aca="false">F3*G3</f>
        <v>20</v>
      </c>
      <c r="I3" s="12" t="str">
        <f aca="false">IF(H3&gt;=15,"Critical",IF(H3&gt;=10,"High",IF(H3&gt;=5,"Medium","Low")))</f>
        <v>Critical</v>
      </c>
      <c r="J3" s="12" t="s">
        <v>53</v>
      </c>
      <c r="K3" s="12" t="s">
        <v>45</v>
      </c>
      <c r="L3" s="12" t="s">
        <v>46</v>
      </c>
      <c r="M3" s="12" t="s">
        <v>47</v>
      </c>
    </row>
    <row r="4" customFormat="false" ht="54.75" hidden="false" customHeight="true" outlineLevel="0" collapsed="false">
      <c r="A4" s="12" t="s">
        <v>54</v>
      </c>
      <c r="B4" s="12" t="s">
        <v>55</v>
      </c>
      <c r="C4" s="12" t="s">
        <v>41</v>
      </c>
      <c r="D4" s="12" t="s">
        <v>56</v>
      </c>
      <c r="E4" s="12" t="s">
        <v>57</v>
      </c>
      <c r="F4" s="12" t="n">
        <v>5</v>
      </c>
      <c r="G4" s="12" t="n">
        <v>3</v>
      </c>
      <c r="H4" s="12" t="n">
        <f aca="false">F4*G4</f>
        <v>15</v>
      </c>
      <c r="I4" s="12" t="str">
        <f aca="false">IF(H4&gt;=15,"Critical",IF(H4&gt;=10,"High",IF(H4&gt;=5,"Medium","Low")))</f>
        <v>Critical</v>
      </c>
      <c r="J4" s="12" t="s">
        <v>58</v>
      </c>
      <c r="K4" s="12" t="s">
        <v>45</v>
      </c>
      <c r="L4" s="12" t="s">
        <v>46</v>
      </c>
      <c r="M4" s="12" t="s">
        <v>47</v>
      </c>
    </row>
    <row r="5" customFormat="false" ht="336.75" hidden="false" customHeight="true" outlineLevel="0" collapsed="false">
      <c r="A5" s="13" t="s">
        <v>59</v>
      </c>
      <c r="B5" s="13" t="s">
        <v>40</v>
      </c>
      <c r="C5" s="13" t="s">
        <v>41</v>
      </c>
      <c r="D5" s="13" t="s">
        <v>60</v>
      </c>
      <c r="E5" s="13" t="s">
        <v>61</v>
      </c>
      <c r="F5" s="14" t="s">
        <v>62</v>
      </c>
      <c r="G5" s="14" t="s">
        <v>63</v>
      </c>
      <c r="H5" s="13" t="e">
        <f aca="false">IF(F5="","",F5*G5)</f>
        <v>#VALUE!</v>
      </c>
      <c r="I5" s="13" t="e">
        <f aca="false">IF(F5="","",IF(H5&gt;=15,"Critical",IF(H5&gt;=10,"High",IF(H5&gt;=5,"Medium","Low"))))</f>
        <v>#VALUE!</v>
      </c>
      <c r="J5" s="14" t="s">
        <v>64</v>
      </c>
      <c r="K5" s="14" t="s">
        <v>65</v>
      </c>
      <c r="L5" s="13" t="s">
        <v>66</v>
      </c>
      <c r="M5" s="13" t="s">
        <v>67</v>
      </c>
    </row>
    <row r="6" customFormat="false" ht="336.75" hidden="false" customHeight="true" outlineLevel="0" collapsed="false">
      <c r="A6" s="13" t="s">
        <v>68</v>
      </c>
      <c r="B6" s="13" t="s">
        <v>55</v>
      </c>
      <c r="C6" s="13" t="s">
        <v>41</v>
      </c>
      <c r="D6" s="13" t="s">
        <v>69</v>
      </c>
      <c r="E6" s="13" t="s">
        <v>70</v>
      </c>
      <c r="F6" s="14" t="s">
        <v>62</v>
      </c>
      <c r="G6" s="14" t="s">
        <v>63</v>
      </c>
      <c r="H6" s="13" t="e">
        <f aca="false">IF(F6="","",F6*G6)</f>
        <v>#VALUE!</v>
      </c>
      <c r="I6" s="13" t="e">
        <f aca="false">IF(F6="","",IF(H6&gt;=15,"Critical",IF(H6&gt;=10,"High",IF(H6&gt;=5,"Medium","Low"))))</f>
        <v>#VALUE!</v>
      </c>
      <c r="J6" s="14" t="s">
        <v>64</v>
      </c>
      <c r="K6" s="14" t="s">
        <v>65</v>
      </c>
      <c r="L6" s="13" t="s">
        <v>66</v>
      </c>
      <c r="M6" s="13" t="s">
        <v>67</v>
      </c>
    </row>
    <row r="7" customFormat="false" ht="336.75" hidden="false" customHeight="true" outlineLevel="0" collapsed="false">
      <c r="A7" s="13" t="s">
        <v>71</v>
      </c>
      <c r="B7" s="13" t="s">
        <v>49</v>
      </c>
      <c r="C7" s="13" t="s">
        <v>50</v>
      </c>
      <c r="D7" s="13" t="s">
        <v>72</v>
      </c>
      <c r="E7" s="13" t="s">
        <v>52</v>
      </c>
      <c r="F7" s="14" t="s">
        <v>62</v>
      </c>
      <c r="G7" s="14" t="s">
        <v>63</v>
      </c>
      <c r="H7" s="13" t="e">
        <f aca="false">IF(F7="","",F7*G7)</f>
        <v>#VALUE!</v>
      </c>
      <c r="I7" s="13" t="e">
        <f aca="false">IF(F7="","",IF(H7&gt;=15,"Critical",IF(H7&gt;=10,"High",IF(H7&gt;=5,"Medium","Low"))))</f>
        <v>#VALUE!</v>
      </c>
      <c r="J7" s="14" t="s">
        <v>64</v>
      </c>
      <c r="K7" s="14" t="s">
        <v>65</v>
      </c>
      <c r="L7" s="13" t="s">
        <v>66</v>
      </c>
      <c r="M7" s="13" t="s">
        <v>67</v>
      </c>
    </row>
    <row r="8" customFormat="false" ht="336.75" hidden="false" customHeight="true" outlineLevel="0" collapsed="false">
      <c r="A8" s="13" t="s">
        <v>73</v>
      </c>
      <c r="B8" s="13" t="s">
        <v>49</v>
      </c>
      <c r="C8" s="13" t="s">
        <v>74</v>
      </c>
      <c r="D8" s="13" t="s">
        <v>75</v>
      </c>
      <c r="E8" s="13" t="s">
        <v>76</v>
      </c>
      <c r="F8" s="14" t="s">
        <v>62</v>
      </c>
      <c r="G8" s="14" t="s">
        <v>63</v>
      </c>
      <c r="H8" s="13" t="e">
        <f aca="false">IF(F8="","",F8*G8)</f>
        <v>#VALUE!</v>
      </c>
      <c r="I8" s="13" t="e">
        <f aca="false">IF(F8="","",IF(H8&gt;=15,"Critical",IF(H8&gt;=10,"High",IF(H8&gt;=5,"Medium","Low"))))</f>
        <v>#VALUE!</v>
      </c>
      <c r="J8" s="14" t="s">
        <v>64</v>
      </c>
      <c r="K8" s="14" t="s">
        <v>65</v>
      </c>
      <c r="L8" s="13" t="s">
        <v>66</v>
      </c>
      <c r="M8" s="13" t="s">
        <v>67</v>
      </c>
    </row>
    <row r="9" customFormat="false" ht="336.75" hidden="false" customHeight="true" outlineLevel="0" collapsed="false">
      <c r="A9" s="13" t="s">
        <v>77</v>
      </c>
      <c r="B9" s="13" t="s">
        <v>78</v>
      </c>
      <c r="C9" s="13" t="s">
        <v>74</v>
      </c>
      <c r="D9" s="13" t="s">
        <v>79</v>
      </c>
      <c r="E9" s="13" t="s">
        <v>80</v>
      </c>
      <c r="F9" s="14" t="s">
        <v>62</v>
      </c>
      <c r="G9" s="14" t="s">
        <v>63</v>
      </c>
      <c r="H9" s="13" t="e">
        <f aca="false">IF(F9="","",F9*G9)</f>
        <v>#VALUE!</v>
      </c>
      <c r="I9" s="13" t="e">
        <f aca="false">IF(F9="","",IF(H9&gt;=15,"Critical",IF(H9&gt;=10,"High",IF(H9&gt;=5,"Medium","Low"))))</f>
        <v>#VALUE!</v>
      </c>
      <c r="J9" s="14" t="s">
        <v>64</v>
      </c>
      <c r="K9" s="14" t="s">
        <v>65</v>
      </c>
      <c r="L9" s="13" t="s">
        <v>66</v>
      </c>
      <c r="M9" s="13" t="s">
        <v>67</v>
      </c>
    </row>
    <row r="10" customFormat="false" ht="336.75" hidden="false" customHeight="true" outlineLevel="0" collapsed="false">
      <c r="A10" s="13" t="s">
        <v>81</v>
      </c>
      <c r="B10" s="13" t="s">
        <v>55</v>
      </c>
      <c r="C10" s="13" t="s">
        <v>82</v>
      </c>
      <c r="D10" s="13" t="s">
        <v>83</v>
      </c>
      <c r="E10" s="13" t="s">
        <v>84</v>
      </c>
      <c r="F10" s="14" t="s">
        <v>62</v>
      </c>
      <c r="G10" s="14" t="s">
        <v>63</v>
      </c>
      <c r="H10" s="13" t="e">
        <f aca="false">IF(F10="","",F10*G10)</f>
        <v>#VALUE!</v>
      </c>
      <c r="I10" s="13" t="e">
        <f aca="false">IF(F10="","",IF(H10&gt;=15,"Critical",IF(H10&gt;=10,"High",IF(H10&gt;=5,"Medium","Low"))))</f>
        <v>#VALUE!</v>
      </c>
      <c r="J10" s="14" t="s">
        <v>64</v>
      </c>
      <c r="K10" s="14" t="s">
        <v>65</v>
      </c>
      <c r="L10" s="13" t="s">
        <v>66</v>
      </c>
      <c r="M10" s="13" t="s">
        <v>67</v>
      </c>
    </row>
    <row r="11" customFormat="false" ht="336.75" hidden="false" customHeight="true" outlineLevel="0" collapsed="false">
      <c r="A11" s="13" t="s">
        <v>85</v>
      </c>
      <c r="B11" s="13" t="s">
        <v>78</v>
      </c>
      <c r="C11" s="13" t="s">
        <v>82</v>
      </c>
      <c r="D11" s="13" t="s">
        <v>86</v>
      </c>
      <c r="E11" s="13" t="s">
        <v>87</v>
      </c>
      <c r="F11" s="14" t="s">
        <v>62</v>
      </c>
      <c r="G11" s="14" t="s">
        <v>63</v>
      </c>
      <c r="H11" s="13" t="e">
        <f aca="false">IF(F11="","",F11*G11)</f>
        <v>#VALUE!</v>
      </c>
      <c r="I11" s="13" t="e">
        <f aca="false">IF(F11="","",IF(H11&gt;=15,"Critical",IF(H11&gt;=10,"High",IF(H11&gt;=5,"Medium","Low"))))</f>
        <v>#VALUE!</v>
      </c>
      <c r="J11" s="14" t="s">
        <v>64</v>
      </c>
      <c r="K11" s="14" t="s">
        <v>65</v>
      </c>
      <c r="L11" s="13" t="s">
        <v>66</v>
      </c>
      <c r="M11" s="13" t="s">
        <v>67</v>
      </c>
    </row>
    <row r="12" customFormat="false" ht="270" hidden="false" customHeight="true" outlineLevel="0" collapsed="false">
      <c r="A12" s="13" t="s">
        <v>88</v>
      </c>
      <c r="B12" s="13" t="s">
        <v>55</v>
      </c>
      <c r="C12" s="13" t="s">
        <v>82</v>
      </c>
      <c r="D12" s="13" t="s">
        <v>89</v>
      </c>
      <c r="E12" s="13" t="s">
        <v>90</v>
      </c>
      <c r="F12" s="14" t="n">
        <v>2</v>
      </c>
      <c r="G12" s="14" t="n">
        <v>2</v>
      </c>
      <c r="H12" s="13" t="n">
        <f aca="false">IF(F12="","",F12*G12)</f>
        <v>4</v>
      </c>
      <c r="I12" s="13" t="str">
        <f aca="false">IF(F12="","",IF(H12&gt;=15,"Critical",IF(H12&gt;=10,"High",IF(H12&gt;=5,"Medium","Low"))))</f>
        <v>Low</v>
      </c>
      <c r="J12" s="14" t="s">
        <v>64</v>
      </c>
      <c r="K12" s="14" t="s">
        <v>65</v>
      </c>
      <c r="L12" s="13" t="s">
        <v>66</v>
      </c>
      <c r="M12" s="13" t="s">
        <v>67</v>
      </c>
    </row>
    <row r="13" customFormat="false" ht="336.75" hidden="false" customHeight="true" outlineLevel="0" collapsed="false">
      <c r="A13" s="13" t="s">
        <v>91</v>
      </c>
      <c r="B13" s="13" t="s">
        <v>40</v>
      </c>
      <c r="C13" s="13" t="s">
        <v>41</v>
      </c>
      <c r="D13" s="13" t="s">
        <v>92</v>
      </c>
      <c r="E13" s="13" t="s">
        <v>43</v>
      </c>
      <c r="F13" s="14" t="s">
        <v>62</v>
      </c>
      <c r="G13" s="14" t="s">
        <v>63</v>
      </c>
      <c r="H13" s="13" t="e">
        <f aca="false">IF(F13="","",F13*G13)</f>
        <v>#VALUE!</v>
      </c>
      <c r="I13" s="13" t="e">
        <f aca="false">IF(F13="","",IF(H13&gt;=15,"Critical",IF(H13&gt;=10,"High",IF(H13&gt;=5,"Medium","Low"))))</f>
        <v>#VALUE!</v>
      </c>
      <c r="J13" s="14" t="s">
        <v>64</v>
      </c>
      <c r="K13" s="14" t="s">
        <v>65</v>
      </c>
      <c r="L13" s="13" t="s">
        <v>66</v>
      </c>
      <c r="M13" s="13" t="s">
        <v>67</v>
      </c>
    </row>
    <row r="14" customFormat="false" ht="336.75" hidden="false" customHeight="true" outlineLevel="0" collapsed="false">
      <c r="A14" s="13" t="s">
        <v>93</v>
      </c>
      <c r="B14" s="13" t="s">
        <v>78</v>
      </c>
      <c r="C14" s="13" t="s">
        <v>50</v>
      </c>
      <c r="D14" s="13" t="s">
        <v>94</v>
      </c>
      <c r="E14" s="13" t="s">
        <v>95</v>
      </c>
      <c r="F14" s="14" t="s">
        <v>62</v>
      </c>
      <c r="G14" s="14" t="s">
        <v>63</v>
      </c>
      <c r="H14" s="13" t="e">
        <f aca="false">IF(F14="","",F14*G14)</f>
        <v>#VALUE!</v>
      </c>
      <c r="I14" s="13" t="e">
        <f aca="false">IF(F14="","",IF(H14&gt;=15,"Critical",IF(H14&gt;=10,"High",IF(H14&gt;=5,"Medium","Low"))))</f>
        <v>#VALUE!</v>
      </c>
      <c r="J14" s="14" t="s">
        <v>64</v>
      </c>
      <c r="K14" s="14" t="s">
        <v>65</v>
      </c>
      <c r="L14" s="13" t="s">
        <v>66</v>
      </c>
      <c r="M14" s="13" t="s">
        <v>67</v>
      </c>
    </row>
    <row r="15" customFormat="false" ht="270" hidden="false" customHeight="true" outlineLevel="0" collapsed="false">
      <c r="A15" s="13" t="s">
        <v>96</v>
      </c>
      <c r="B15" s="13" t="s">
        <v>49</v>
      </c>
      <c r="C15" s="13" t="s">
        <v>74</v>
      </c>
      <c r="D15" s="13" t="s">
        <v>97</v>
      </c>
      <c r="E15" s="13" t="s">
        <v>98</v>
      </c>
      <c r="F15" s="14" t="n">
        <v>2</v>
      </c>
      <c r="G15" s="14" t="n">
        <v>2</v>
      </c>
      <c r="H15" s="13" t="n">
        <f aca="false">IF(F15="","",F15*G15)</f>
        <v>4</v>
      </c>
      <c r="I15" s="13" t="str">
        <f aca="false">IF(F15="","",IF(H15&gt;=15,"Critical",IF(H15&gt;=10,"High",IF(H15&gt;=5,"Medium","Low"))))</f>
        <v>Low</v>
      </c>
      <c r="J15" s="14" t="s">
        <v>64</v>
      </c>
      <c r="K15" s="14" t="s">
        <v>65</v>
      </c>
      <c r="L15" s="13" t="s">
        <v>66</v>
      </c>
      <c r="M15" s="13" t="s">
        <v>67</v>
      </c>
    </row>
    <row r="16" customFormat="false" ht="336.75" hidden="false" customHeight="true" outlineLevel="0" collapsed="false">
      <c r="A16" s="13" t="s">
        <v>99</v>
      </c>
      <c r="B16" s="13" t="s">
        <v>40</v>
      </c>
      <c r="C16" s="13" t="s">
        <v>41</v>
      </c>
      <c r="D16" s="13" t="s">
        <v>100</v>
      </c>
      <c r="E16" s="13" t="s">
        <v>43</v>
      </c>
      <c r="F16" s="14" t="s">
        <v>62</v>
      </c>
      <c r="G16" s="14" t="s">
        <v>63</v>
      </c>
      <c r="H16" s="13" t="e">
        <f aca="false">IF(F16="","",F16*G16)</f>
        <v>#VALUE!</v>
      </c>
      <c r="I16" s="13" t="e">
        <f aca="false">IF(F16="","",IF(H16&gt;=15,"Critical",IF(H16&gt;=10,"High",IF(H16&gt;=5,"Medium","Low"))))</f>
        <v>#VALUE!</v>
      </c>
      <c r="J16" s="14" t="s">
        <v>64</v>
      </c>
      <c r="K16" s="14" t="s">
        <v>65</v>
      </c>
      <c r="L16" s="13" t="s">
        <v>66</v>
      </c>
      <c r="M16" s="13" t="s">
        <v>67</v>
      </c>
    </row>
    <row r="17" customFormat="false" ht="336.75" hidden="false" customHeight="true" outlineLevel="0" collapsed="false">
      <c r="A17" s="13" t="s">
        <v>101</v>
      </c>
      <c r="B17" s="13" t="s">
        <v>40</v>
      </c>
      <c r="C17" s="13" t="s">
        <v>41</v>
      </c>
      <c r="D17" s="13" t="s">
        <v>102</v>
      </c>
      <c r="E17" s="13" t="s">
        <v>43</v>
      </c>
      <c r="F17" s="14" t="s">
        <v>62</v>
      </c>
      <c r="G17" s="14" t="s">
        <v>63</v>
      </c>
      <c r="H17" s="13" t="e">
        <f aca="false">IF(F17="","",F17*G17)</f>
        <v>#VALUE!</v>
      </c>
      <c r="I17" s="13" t="e">
        <f aca="false">IF(F17="","",IF(H17&gt;=15,"Critical",IF(H17&gt;=10,"High",IF(H17&gt;=5,"Medium","Low"))))</f>
        <v>#VALUE!</v>
      </c>
      <c r="J17" s="14" t="s">
        <v>64</v>
      </c>
      <c r="K17" s="14" t="s">
        <v>65</v>
      </c>
      <c r="L17" s="13" t="s">
        <v>66</v>
      </c>
      <c r="M17" s="13" t="s">
        <v>67</v>
      </c>
    </row>
    <row r="18" customFormat="false" ht="336.75" hidden="false" customHeight="true" outlineLevel="0" collapsed="false">
      <c r="A18" s="13" t="s">
        <v>103</v>
      </c>
      <c r="B18" s="13" t="s">
        <v>55</v>
      </c>
      <c r="C18" s="13" t="s">
        <v>41</v>
      </c>
      <c r="D18" s="13" t="s">
        <v>104</v>
      </c>
      <c r="E18" s="13" t="s">
        <v>57</v>
      </c>
      <c r="F18" s="14" t="s">
        <v>62</v>
      </c>
      <c r="G18" s="14" t="s">
        <v>63</v>
      </c>
      <c r="H18" s="13" t="e">
        <f aca="false">IF(F18="","",F18*G18)</f>
        <v>#VALUE!</v>
      </c>
      <c r="I18" s="13" t="e">
        <f aca="false">IF(F18="","",IF(H18&gt;=15,"Critical",IF(H18&gt;=10,"High",IF(H18&gt;=5,"Medium","Low"))))</f>
        <v>#VALUE!</v>
      </c>
      <c r="J18" s="14" t="s">
        <v>64</v>
      </c>
      <c r="K18" s="14" t="s">
        <v>65</v>
      </c>
      <c r="L18" s="13" t="s">
        <v>66</v>
      </c>
      <c r="M18" s="13" t="s">
        <v>67</v>
      </c>
    </row>
    <row r="19" customFormat="false" ht="336.75" hidden="false" customHeight="true" outlineLevel="0" collapsed="false">
      <c r="A19" s="13" t="s">
        <v>105</v>
      </c>
      <c r="B19" s="13" t="s">
        <v>49</v>
      </c>
      <c r="C19" s="13" t="s">
        <v>41</v>
      </c>
      <c r="D19" s="13" t="s">
        <v>106</v>
      </c>
      <c r="E19" s="13" t="s">
        <v>43</v>
      </c>
      <c r="F19" s="14" t="s">
        <v>62</v>
      </c>
      <c r="G19" s="14" t="s">
        <v>63</v>
      </c>
      <c r="H19" s="13" t="e">
        <f aca="false">IF(F19="","",F19*G19)</f>
        <v>#VALUE!</v>
      </c>
      <c r="I19" s="13" t="e">
        <f aca="false">IF(F19="","",IF(H19&gt;=15,"Critical",IF(H19&gt;=10,"High",IF(H19&gt;=5,"Medium","Low"))))</f>
        <v>#VALUE!</v>
      </c>
      <c r="J19" s="14" t="s">
        <v>64</v>
      </c>
      <c r="K19" s="14" t="s">
        <v>65</v>
      </c>
      <c r="L19" s="13" t="s">
        <v>66</v>
      </c>
      <c r="M19" s="1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80"/>
  </cols>
  <sheetData>
    <row r="1" customFormat="false" ht="15" hidden="false" customHeight="true" outlineLevel="0" collapsed="false">
      <c r="A1" s="15" t="s">
        <v>107</v>
      </c>
    </row>
    <row r="2" customFormat="false" ht="15" hidden="false" customHeight="true" outlineLevel="0" collapsed="false">
      <c r="A2" s="10" t="n">
        <v>1</v>
      </c>
      <c r="B2" s="16" t="s">
        <v>108</v>
      </c>
    </row>
    <row r="3" customFormat="false" ht="15" hidden="false" customHeight="true" outlineLevel="0" collapsed="false">
      <c r="A3" s="10" t="n">
        <v>2</v>
      </c>
      <c r="B3" s="16" t="s">
        <v>109</v>
      </c>
    </row>
    <row r="4" customFormat="false" ht="15" hidden="false" customHeight="true" outlineLevel="0" collapsed="false">
      <c r="A4" s="10" t="n">
        <v>3</v>
      </c>
      <c r="B4" s="16" t="s">
        <v>110</v>
      </c>
    </row>
    <row r="5" customFormat="false" ht="15" hidden="false" customHeight="true" outlineLevel="0" collapsed="false">
      <c r="A5" s="10" t="n">
        <v>4</v>
      </c>
      <c r="B5" s="16" t="s">
        <v>111</v>
      </c>
    </row>
    <row r="6" customFormat="false" ht="15" hidden="false" customHeight="true" outlineLevel="0" collapsed="false">
      <c r="A6" s="10" t="n">
        <v>5</v>
      </c>
      <c r="B6" s="16" t="s">
        <v>112</v>
      </c>
    </row>
    <row r="7" customFormat="false" ht="15" hidden="false" customHeight="true" outlineLevel="0" collapsed="false"/>
    <row r="8" customFormat="false" ht="15" hidden="false" customHeight="true" outlineLevel="0" collapsed="false">
      <c r="A8" s="15" t="s">
        <v>113</v>
      </c>
    </row>
    <row r="9" customFormat="false" ht="15" hidden="false" customHeight="true" outlineLevel="0" collapsed="false">
      <c r="A9" s="10" t="n">
        <v>1</v>
      </c>
      <c r="B9" s="16" t="s">
        <v>114</v>
      </c>
    </row>
    <row r="10" customFormat="false" ht="15" hidden="false" customHeight="true" outlineLevel="0" collapsed="false">
      <c r="A10" s="10" t="n">
        <v>2</v>
      </c>
      <c r="B10" s="16" t="s">
        <v>115</v>
      </c>
    </row>
    <row r="11" customFormat="false" ht="15" hidden="false" customHeight="true" outlineLevel="0" collapsed="false">
      <c r="A11" s="10" t="n">
        <v>3</v>
      </c>
      <c r="B11" s="16" t="s">
        <v>116</v>
      </c>
    </row>
    <row r="12" customFormat="false" ht="15" hidden="false" customHeight="true" outlineLevel="0" collapsed="false">
      <c r="A12" s="10" t="n">
        <v>4</v>
      </c>
      <c r="B12" s="16" t="s">
        <v>117</v>
      </c>
    </row>
    <row r="13" customFormat="false" ht="15" hidden="false" customHeight="true" outlineLevel="0" collapsed="false">
      <c r="A13" s="10" t="n">
        <v>5</v>
      </c>
      <c r="B13" s="16" t="s">
        <v>118</v>
      </c>
    </row>
    <row r="14" customFormat="false" ht="15" hidden="false" customHeight="true" outlineLevel="0" collapsed="false"/>
    <row r="15" customFormat="false" ht="15" hidden="false" customHeight="true" outlineLevel="0" collapsed="false">
      <c r="A15" s="15" t="s">
        <v>119</v>
      </c>
    </row>
    <row r="16" customFormat="false" ht="15" hidden="false" customHeight="true" outlineLevel="0" collapsed="false">
      <c r="A16" s="10" t="s">
        <v>120</v>
      </c>
      <c r="B16" s="16" t="s">
        <v>121</v>
      </c>
    </row>
    <row r="17" customFormat="false" ht="15" hidden="false" customHeight="true" outlineLevel="0" collapsed="false">
      <c r="A17" s="10" t="s">
        <v>122</v>
      </c>
      <c r="B17" s="16" t="s">
        <v>123</v>
      </c>
    </row>
    <row r="18" customFormat="false" ht="15" hidden="false" customHeight="true" outlineLevel="0" collapsed="false">
      <c r="A18" s="10" t="s">
        <v>124</v>
      </c>
      <c r="B18" s="16" t="s">
        <v>125</v>
      </c>
    </row>
    <row r="19" customFormat="false" ht="15" hidden="false" customHeight="true" outlineLevel="0" collapsed="false">
      <c r="A19" s="10" t="s">
        <v>126</v>
      </c>
      <c r="B19" s="16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5"/>
  </cols>
  <sheetData>
    <row r="1" customFormat="false" ht="15" hidden="false" customHeight="true" outlineLevel="0" collapsed="false">
      <c r="A1" s="17" t="s">
        <v>128</v>
      </c>
      <c r="B1" s="17"/>
    </row>
    <row r="3" customFormat="false" ht="15" hidden="false" customHeight="true" outlineLevel="0" collapsed="false">
      <c r="A3" s="5" t="s">
        <v>129</v>
      </c>
    </row>
    <row r="4" customFormat="false" ht="15" hidden="false" customHeight="true" outlineLevel="0" collapsed="false">
      <c r="A4" s="1" t="s">
        <v>130</v>
      </c>
      <c r="B4" s="1" t="n">
        <f aca="false">COUNTA('Risk Register'!A2:A16)</f>
        <v>15</v>
      </c>
    </row>
    <row r="5" customFormat="false" ht="15" hidden="false" customHeight="true" outlineLevel="0" collapsed="false">
      <c r="A5" s="1" t="s">
        <v>131</v>
      </c>
      <c r="B5" s="1" t="n">
        <f aca="false">COUNTIF('Risk Register'!I2:I16,"Critical")</f>
        <v>3</v>
      </c>
    </row>
    <row r="6" customFormat="false" ht="15" hidden="false" customHeight="true" outlineLevel="0" collapsed="false">
      <c r="A6" s="1" t="s">
        <v>132</v>
      </c>
      <c r="B6" s="1" t="n">
        <f aca="false">COUNTIF('Risk Register'!I2:I16,"High")</f>
        <v>0</v>
      </c>
    </row>
    <row r="7" customFormat="false" ht="15" hidden="false" customHeight="true" outlineLevel="0" collapsed="false">
      <c r="A7" s="1" t="s">
        <v>133</v>
      </c>
      <c r="B7" s="1" t="n">
        <f aca="false">COUNTIF('Risk Register'!I2:I16,"Medium")</f>
        <v>0</v>
      </c>
    </row>
    <row r="8" customFormat="false" ht="15" hidden="false" customHeight="true" outlineLevel="0" collapsed="false">
      <c r="A8" s="1" t="s">
        <v>134</v>
      </c>
      <c r="B8" s="1" t="n">
        <f aca="false">COUNTIF('Risk Register'!I2:I16,"Low")</f>
        <v>2</v>
      </c>
    </row>
    <row r="10" customFormat="false" ht="15" hidden="false" customHeight="true" outlineLevel="0" collapsed="false">
      <c r="A10" s="5" t="s">
        <v>135</v>
      </c>
    </row>
    <row r="11" customFormat="false" ht="15" hidden="false" customHeight="true" outlineLevel="0" collapsed="false">
      <c r="A11" s="1" t="s">
        <v>136</v>
      </c>
      <c r="B11" s="1" t="n">
        <f aca="false">COUNTIF('Risk Register'!C2:C16,"Technical")</f>
        <v>6</v>
      </c>
    </row>
    <row r="12" customFormat="false" ht="15" hidden="false" customHeight="true" outlineLevel="0" collapsed="false">
      <c r="A12" s="1" t="s">
        <v>137</v>
      </c>
      <c r="B12" s="1" t="n">
        <f aca="false">COUNTIF('Risk Register'!C2:C16,"Ethical")</f>
        <v>3</v>
      </c>
    </row>
    <row r="13" customFormat="false" ht="15" hidden="false" customHeight="true" outlineLevel="0" collapsed="false">
      <c r="A13" s="1" t="s">
        <v>138</v>
      </c>
      <c r="B13" s="1" t="n">
        <f aca="false">COUNTIF('Risk Register'!C2:C16,"Legal")</f>
        <v>3</v>
      </c>
    </row>
    <row r="14" customFormat="false" ht="15" hidden="false" customHeight="true" outlineLevel="0" collapsed="false">
      <c r="A14" s="1" t="s">
        <v>139</v>
      </c>
      <c r="B14" s="1" t="n">
        <f aca="false">COUNTIF('Risk Register'!C2:C16,"Operational")</f>
        <v>3</v>
      </c>
    </row>
    <row r="16" customFormat="false" ht="15" hidden="false" customHeight="true" outlineLevel="0" collapsed="false">
      <c r="A16" s="5" t="s">
        <v>140</v>
      </c>
    </row>
    <row r="17" customFormat="false" ht="15" hidden="false" customHeight="true" outlineLevel="0" collapsed="false">
      <c r="A17" s="1" t="s">
        <v>141</v>
      </c>
      <c r="B17" s="1" t="n">
        <f aca="false">COUNTIF('Risk Register'!B2:B16,"Govern")</f>
        <v>4</v>
      </c>
    </row>
    <row r="18" customFormat="false" ht="15" hidden="false" customHeight="true" outlineLevel="0" collapsed="false">
      <c r="A18" s="1" t="s">
        <v>142</v>
      </c>
      <c r="B18" s="1" t="n">
        <f aca="false">COUNTIF('Risk Register'!B2:B16,"Map")</f>
        <v>3</v>
      </c>
    </row>
    <row r="19" customFormat="false" ht="15" hidden="false" customHeight="true" outlineLevel="0" collapsed="false">
      <c r="A19" s="1" t="s">
        <v>143</v>
      </c>
      <c r="B19" s="1" t="n">
        <f aca="false">COUNTIF('Risk Register'!B2:B16,"Measure")</f>
        <v>4</v>
      </c>
    </row>
    <row r="20" customFormat="false" ht="15" hidden="false" customHeight="true" outlineLevel="0" collapsed="false">
      <c r="A20" s="1" t="s">
        <v>144</v>
      </c>
      <c r="B20" s="1" t="n">
        <f aca="false">COUNTIF('Risk Register'!B2:B16,"Manage")</f>
        <v>4</v>
      </c>
    </row>
    <row r="22" customFormat="false" ht="15" hidden="false" customHeight="true" outlineLevel="0" collapsed="false">
      <c r="A22" s="5" t="s">
        <v>145</v>
      </c>
    </row>
    <row r="23" customFormat="false" ht="30" hidden="false" customHeight="true" outlineLevel="0" collapsed="false">
      <c r="A23" s="18" t="s">
        <v>146</v>
      </c>
    </row>
    <row r="24" customFormat="false" ht="30" hidden="false" customHeight="true" outlineLevel="0" collapsed="false">
      <c r="A24" s="18" t="s">
        <v>147</v>
      </c>
    </row>
    <row r="25" customFormat="false" ht="15" hidden="false" customHeight="true" outlineLevel="0" collapsed="false">
      <c r="A25" s="1" t="s">
        <v>148</v>
      </c>
    </row>
    <row r="26" customFormat="false" ht="15" hidden="false" customHeight="true" outlineLevel="0" collapsed="false">
      <c r="A26" s="1" t="s">
        <v>149</v>
      </c>
    </row>
    <row r="27" customFormat="false" ht="15" hidden="false" customHeight="true" outlineLevel="0" collapsed="false">
      <c r="A27" s="1" t="s">
        <v>150</v>
      </c>
    </row>
    <row r="29" customFormat="false" ht="15" hidden="false" customHeight="true" outlineLevel="0" collapsed="false">
      <c r="A29" s="5" t="s">
        <v>151</v>
      </c>
    </row>
    <row r="30" customFormat="false" ht="15" hidden="false" customHeight="true" outlineLevel="0" collapsed="false">
      <c r="A30" s="1" t="s">
        <v>152</v>
      </c>
    </row>
    <row r="31" customFormat="false" ht="15" hidden="false" customHeight="true" outlineLevel="0" collapsed="false">
      <c r="A31" s="1" t="s">
        <v>153</v>
      </c>
    </row>
    <row r="32" customFormat="false" ht="15" hidden="false" customHeight="true" outlineLevel="0" collapsed="false">
      <c r="A32" s="1" t="s">
        <v>154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60"/>
    <col collapsed="false" customWidth="true" hidden="false" outlineLevel="0" max="3" min="3" style="1" width="70"/>
  </cols>
  <sheetData>
    <row r="1" customFormat="false" ht="15" hidden="false" customHeight="true" outlineLevel="0" collapsed="false">
      <c r="A1" s="19" t="s">
        <v>155</v>
      </c>
      <c r="B1" s="19" t="s">
        <v>156</v>
      </c>
      <c r="C1" s="19" t="s">
        <v>157</v>
      </c>
    </row>
    <row r="2" customFormat="false" ht="39.75" hidden="false" customHeight="true" outlineLevel="0" collapsed="false">
      <c r="A2" s="16" t="s">
        <v>49</v>
      </c>
      <c r="B2" s="16" t="s">
        <v>158</v>
      </c>
      <c r="C2" s="16" t="s">
        <v>159</v>
      </c>
    </row>
    <row r="3" customFormat="false" ht="39.75" hidden="false" customHeight="true" outlineLevel="0" collapsed="false">
      <c r="A3" s="16" t="s">
        <v>78</v>
      </c>
      <c r="B3" s="16" t="s">
        <v>160</v>
      </c>
      <c r="C3" s="16" t="s">
        <v>161</v>
      </c>
    </row>
    <row r="4" customFormat="false" ht="39.75" hidden="false" customHeight="true" outlineLevel="0" collapsed="false">
      <c r="A4" s="16" t="s">
        <v>40</v>
      </c>
      <c r="B4" s="16" t="s">
        <v>162</v>
      </c>
      <c r="C4" s="16" t="s">
        <v>163</v>
      </c>
    </row>
    <row r="5" customFormat="false" ht="39.75" hidden="false" customHeight="true" outlineLevel="0" collapsed="false">
      <c r="A5" s="16" t="s">
        <v>55</v>
      </c>
      <c r="B5" s="16" t="s">
        <v>164</v>
      </c>
      <c r="C5" s="16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2026-02-25T00:40:27Z</dcterms:created>
  <dc:creator>openpyxl</dc:creator>
  <dc:description/>
  <dc:language>en-US</dc:language>
  <cp:lastModifiedBy/>
  <dcterms:modified xsi:type="dcterms:W3CDTF">2026-08-20T00:48:18Z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